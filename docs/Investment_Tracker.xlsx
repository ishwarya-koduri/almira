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ment Log" sheetId="1" state="visible" r:id="rId3"/>
    <sheet name="Charts" sheetId="2" state="visible" r:id="rId4"/>
    <sheet name="Gold" sheetId="3" state="visible" r:id="rId5"/>
    <sheet name="Fixed Deposit" sheetId="4" state="visible" r:id="rId6"/>
    <sheet name="Mutual Funds" sheetId="5" state="visible" r:id="rId7"/>
    <sheet name="Stocks" sheetId="6" state="visible" r:id="rId8"/>
    <sheet name="IPO" sheetId="7" state="visible" r:id="rId9"/>
    <sheet name="Real Estate" sheetId="8" state="visible" r:id="rId10"/>
  </sheets>
  <definedNames>
    <definedName function="false" hidden="true" localSheetId="0" name="_xlnm._FilterDatabase" vbProcedure="false">'Investment Log'!$A$7:$J$162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<sst xmlns="http://schemas.openxmlformats.org/spreadsheetml/2006/main" count="262" uniqueCount="177">
  <si>
    <t xml:space="preserve">INVESTMENT LOG  —  Ishwarya</t>
  </si>
  <si>
    <t xml:space="preserve">Single source of truth. Add each investment as one new row → the category tabs update automatically. Type only in the white columns.</t>
  </si>
  <si>
    <t xml:space="preserve">TOTAL INVESTED (₹)</t>
  </si>
  <si>
    <t xml:space="preserve">TOTAL GOLD (g)</t>
  </si>
  <si>
    <t xml:space="preserve">RECORDS</t>
  </si>
  <si>
    <t xml:space="preserve">S.No</t>
  </si>
  <si>
    <t xml:space="preserve">Date</t>
  </si>
  <si>
    <t xml:space="preserve">Category</t>
  </si>
  <si>
    <t xml:space="preserve">Description / Name</t>
  </si>
  <si>
    <t xml:space="preserve">Amount Invested (₹)</t>
  </si>
  <si>
    <t xml:space="preserve">Gold (grams)</t>
  </si>
  <si>
    <t xml:space="preserve">Platform / Account</t>
  </si>
  <si>
    <t xml:space="preserve">Notes</t>
  </si>
  <si>
    <t xml:space="preserve">Period (auto)</t>
  </si>
  <si>
    <t xml:space="preserve">Cumulative (₹) (auto)</t>
  </si>
  <si>
    <t xml:space="preserve">Opening</t>
  </si>
  <si>
    <t xml:space="preserve">Gold</t>
  </si>
  <si>
    <t xml:space="preserve">Existing holding (opening)</t>
  </si>
  <si>
    <t xml:space="preserve">—</t>
  </si>
  <si>
    <t xml:space="preserve">Opening balance, pre-2025. Purchase cost not recorded.</t>
  </si>
  <si>
    <t xml:space="preserve">Bought 12.9 g. ₹ not recorded. Day not specified.</t>
  </si>
  <si>
    <t xml:space="preserve">Bought 10.9 g. ₹ not recorded. Day not specified.</t>
  </si>
  <si>
    <t xml:space="preserve">Real Estate</t>
  </si>
  <si>
    <t xml:space="preserve">PRIDE</t>
  </si>
  <si>
    <t xml:space="preserve">₹7.5L to PRIDE. Confirm nature (property?). Day not specified.</t>
  </si>
  <si>
    <t xml:space="preserve">Mutual Funds</t>
  </si>
  <si>
    <t xml:space="preserve">Kuvera portfolio</t>
  </si>
  <si>
    <t xml:space="preserve">Kuvera app</t>
  </si>
  <si>
    <t xml:space="preserve">Day not specified.</t>
  </si>
  <si>
    <t xml:space="preserve">Fixed Deposit</t>
  </si>
  <si>
    <t xml:space="preserve">ICICI FD</t>
  </si>
  <si>
    <t xml:space="preserve">ICICI</t>
  </si>
  <si>
    <t xml:space="preserve">Day not specified. Rate / tenure not recorded.</t>
  </si>
  <si>
    <t xml:space="preserve">₹1L → 6.62 g. Day not specified.</t>
  </si>
  <si>
    <t xml:space="preserve">₹1L → 6.58 g. Day not specified.</t>
  </si>
  <si>
    <t xml:space="preserve">FD</t>
  </si>
  <si>
    <t xml:space="preserve">Day / bank not specified.</t>
  </si>
  <si>
    <t xml:space="preserve">₹1.2L → 10 g. Day not specified.</t>
  </si>
  <si>
    <t xml:space="preserve">Stocks</t>
  </si>
  <si>
    <t xml:space="preserve">Sanskrut Shares</t>
  </si>
  <si>
    <t xml:space="preserve">Day not specified. (Unlisted / private shares?)</t>
  </si>
  <si>
    <t xml:space="preserve">NSE Stocks</t>
  </si>
  <si>
    <t xml:space="preserve">IPO</t>
  </si>
  <si>
    <t xml:space="preserve">Manipal Health</t>
  </si>
  <si>
    <t xml:space="preserve">IPO. Exact date assumed = 3 Aug; confirm.</t>
  </si>
  <si>
    <t xml:space="preserve">₹1L → 6.3 g. Date assumed = 3 Aug.</t>
  </si>
  <si>
    <t xml:space="preserve">3.5 years @ 6.5% interest.</t>
  </si>
  <si>
    <t xml:space="preserve">INVESTMENT DASHBOARD  —  Ishwarya</t>
  </si>
  <si>
    <t xml:space="preserve">Zero</t>
  </si>
  <si>
    <t xml:space="preserve">Charts and totals update automatically from the Investment Log.</t>
  </si>
  <si>
    <t xml:space="preserve">One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</si>
  <si>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</si>
  <si>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</si>
  <si>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</si>
  <si>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</si>
  <si>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</si>
  <si>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Amount (₹)</t>
  </si>
  <si>
    <t xml:space="preserve">Share</t>
  </si>
  <si>
    <t xml:space="preserve">In Words</t>
  </si>
  <si>
    <t xml:space="preserve">Seven</t>
  </si>
  <si>
    <t xml:space="preserve">Eight</t>
  </si>
  <si>
    <t xml:space="preserve">Nine</t>
  </si>
  <si>
    <t xml:space="preserve">Ten</t>
  </si>
  <si>
    <t xml:space="preserve">Eleven</t>
  </si>
  <si>
    <t xml:space="preserve">Twelve</t>
  </si>
  <si>
    <t xml:space="preserve">Thirteen</t>
  </si>
  <si>
    <t xml:space="preserve">TOTAL</t>
  </si>
  <si>
    <t xml:space="preserve">Fourteen</t>
  </si>
  <si>
    <t xml:space="preserve">Fifteen</t>
  </si>
  <si>
    <t xml:space="preserve">Sixteen</t>
  </si>
  <si>
    <t xml:space="preserve">Month</t>
  </si>
  <si>
    <t xml:space="preserve">Invested (₹)</t>
  </si>
  <si>
    <t xml:space="preserve">Cumulative (₹)</t>
  </si>
  <si>
    <t xml:space="preserve">Seventeen</t>
  </si>
  <si>
    <t xml:space="preserve">Dec 2025</t>
  </si>
  <si>
    <t xml:space="preserve">Eighteen</t>
  </si>
  <si>
    <t xml:space="preserve">Jan 2026</t>
  </si>
  <si>
    <t xml:space="preserve">Nineteen</t>
  </si>
  <si>
    <t xml:space="preserve">Feb 2026</t>
  </si>
  <si>
    <t xml:space="preserve">Twenty</t>
  </si>
  <si>
    <t xml:space="preserve">Mar 2026</t>
  </si>
  <si>
    <t xml:space="preserve">Twenty One</t>
  </si>
  <si>
    <t xml:space="preserve">Apr 2026</t>
  </si>
  <si>
    <t xml:space="preserve">Twenty Two</t>
  </si>
  <si>
    <t xml:space="preserve">May 2026</t>
  </si>
  <si>
    <t xml:space="preserve">Twenty Three</t>
  </si>
  <si>
    <t xml:space="preserve">Jun 2026</t>
  </si>
  <si>
    <t xml:space="preserve">Twenty Four</t>
  </si>
  <si>
    <t xml:space="preserve">Jul 2026</t>
  </si>
  <si>
    <t xml:space="preserve">Twenty Five</t>
  </si>
  <si>
    <t xml:space="preserve">Aug 2026</t>
  </si>
  <si>
    <t xml:space="preserve">Twenty Six</t>
  </si>
  <si>
    <t xml:space="preserve">Sep 2026</t>
  </si>
  <si>
    <t xml:space="preserve">Twenty Seven</t>
  </si>
  <si>
    <t xml:space="preserve">Oct 2026</t>
  </si>
  <si>
    <t xml:space="preserve">Twenty Eight</t>
  </si>
  <si>
    <t xml:space="preserve">Nov 2026</t>
  </si>
  <si>
    <t xml:space="preserve">Twenty Nine</t>
  </si>
  <si>
    <t xml:space="preserve">Dec 2026</t>
  </si>
  <si>
    <t xml:space="preserve">Thirty</t>
  </si>
  <si>
    <t xml:space="preserve">Thirty One</t>
  </si>
  <si>
    <t xml:space="preserve">Thirty Two</t>
  </si>
  <si>
    <t xml:space="preserve">Thirty Three</t>
  </si>
  <si>
    <t xml:space="preserve">Thirty Four</t>
  </si>
  <si>
    <t xml:space="preserve">Thirty Five</t>
  </si>
  <si>
    <t xml:space="preserve">Thirty Six</t>
  </si>
  <si>
    <t xml:space="preserve">Thirty Seven</t>
  </si>
  <si>
    <t xml:space="preserve">Thirty Eight</t>
  </si>
  <si>
    <t xml:space="preserve">Thirty Nine</t>
  </si>
  <si>
    <t xml:space="preserve">Forty</t>
  </si>
  <si>
    <t xml:space="preserve">Forty One</t>
  </si>
  <si>
    <t xml:space="preserve">Forty Two</t>
  </si>
  <si>
    <t xml:space="preserve">Forty Three</t>
  </si>
  <si>
    <t xml:space="preserve">Forty Four</t>
  </si>
  <si>
    <t xml:space="preserve">Forty Five</t>
  </si>
  <si>
    <t xml:space="preserve">Forty Six</t>
  </si>
  <si>
    <t xml:space="preserve">Forty Seven</t>
  </si>
  <si>
    <t xml:space="preserve">Forty Eight</t>
  </si>
  <si>
    <t xml:space="preserve">Forty Nine</t>
  </si>
  <si>
    <t xml:space="preserve">Fifty</t>
  </si>
  <si>
    <t xml:space="preserve">Fifty One</t>
  </si>
  <si>
    <t xml:space="preserve">Fifty Two</t>
  </si>
  <si>
    <t xml:space="preserve">Fifty Three</t>
  </si>
  <si>
    <t xml:space="preserve">Fifty Four</t>
  </si>
  <si>
    <t xml:space="preserve">Fifty Five</t>
  </si>
  <si>
    <t xml:space="preserve">Fifty Six</t>
  </si>
  <si>
    <t xml:space="preserve">Fifty Seven</t>
  </si>
  <si>
    <t xml:space="preserve">Fifty Eight</t>
  </si>
  <si>
    <t xml:space="preserve">Fifty Nine</t>
  </si>
  <si>
    <t xml:space="preserve">Sixty</t>
  </si>
  <si>
    <t xml:space="preserve">Sixty One</t>
  </si>
  <si>
    <t xml:space="preserve">Sixty Two</t>
  </si>
  <si>
    <t xml:space="preserve">Sixty Three</t>
  </si>
  <si>
    <t xml:space="preserve">Sixty Four</t>
  </si>
  <si>
    <t xml:space="preserve">Sixty Five</t>
  </si>
  <si>
    <t xml:space="preserve">Sixty Six</t>
  </si>
  <si>
    <t xml:space="preserve">Sixty Seven</t>
  </si>
  <si>
    <t xml:space="preserve">Sixty Eight</t>
  </si>
  <si>
    <t xml:space="preserve">Sixty Nine</t>
  </si>
  <si>
    <t xml:space="preserve">Seventy</t>
  </si>
  <si>
    <t xml:space="preserve">Seventy One</t>
  </si>
  <si>
    <t xml:space="preserve">Seventy Two</t>
  </si>
  <si>
    <t xml:space="preserve">Seventy Three</t>
  </si>
  <si>
    <t xml:space="preserve">Seventy Four</t>
  </si>
  <si>
    <t xml:space="preserve">Seventy Five</t>
  </si>
  <si>
    <t xml:space="preserve">Seventy Six</t>
  </si>
  <si>
    <t xml:space="preserve">Seventy Seven</t>
  </si>
  <si>
    <t xml:space="preserve">Seventy Eight</t>
  </si>
  <si>
    <t xml:space="preserve">Seventy Nine</t>
  </si>
  <si>
    <t xml:space="preserve">Eighty</t>
  </si>
  <si>
    <t xml:space="preserve">Eighty One</t>
  </si>
  <si>
    <t xml:space="preserve">Eighty Two</t>
  </si>
  <si>
    <t xml:space="preserve">Eighty Three</t>
  </si>
  <si>
    <t xml:space="preserve">Eighty Four</t>
  </si>
  <si>
    <t xml:space="preserve">Eighty Five</t>
  </si>
  <si>
    <t xml:space="preserve">Eighty Six</t>
  </si>
  <si>
    <t xml:space="preserve">Eighty Seven</t>
  </si>
  <si>
    <t xml:space="preserve">Eighty Eight</t>
  </si>
  <si>
    <t xml:space="preserve">Eighty Nine</t>
  </si>
  <si>
    <t xml:space="preserve">Ninety</t>
  </si>
  <si>
    <t xml:space="preserve">Ninety One</t>
  </si>
  <si>
    <t xml:space="preserve">Ninety Two</t>
  </si>
  <si>
    <t xml:space="preserve">Ninety Three</t>
  </si>
  <si>
    <t xml:space="preserve">Ninety Four</t>
  </si>
  <si>
    <t xml:space="preserve">Ninety Five</t>
  </si>
  <si>
    <t xml:space="preserve">Ninety Six</t>
  </si>
  <si>
    <t xml:space="preserve">Ninety Seven</t>
  </si>
  <si>
    <t xml:space="preserve">Ninety Eight</t>
  </si>
  <si>
    <t xml:space="preserve">Ninety Nine</t>
  </si>
  <si>
    <t xml:space="preserve">GOLD</t>
  </si>
  <si>
    <t xml:space="preserve">Auto-updates from the Investment Log — do not type here.</t>
  </si>
  <si>
    <t xml:space="preserve">Running Gold (g)</t>
  </si>
  <si>
    <t xml:space="preserve">Running Total (₹)</t>
  </si>
  <si>
    <t xml:space="preserve">FIXED DEPOSIT</t>
  </si>
  <si>
    <t xml:space="preserve">MUTUAL FUNDS</t>
  </si>
  <si>
    <t xml:space="preserve">STOCKS</t>
  </si>
  <si>
    <t xml:space="preserve">REAL ESTATE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</si>
</sst>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##,##0"/>
    <numFmt numFmtId="166" formatCode="#,##0.00&quot; g&quot;"/>
    <numFmt numFmtId="167" formatCode="0"/>
    <numFmt numFmtId="168" formatCode="General"/>
    <numFmt numFmtId="169" formatCode="\₹###,##0;&quot;-₹&quot;###,##0;\–"/>
    <numFmt numFmtId="170" formatCode="dd\-mmm\-yyyy"/>
    <numFmt numFmtId="171" formatCode="0.0%"/>
    <numFmt numFmtId="172" formatCode="#,##0.00&quot; g&quot;;;\–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7A5C00"/>
      <name val="Arial"/>
      <family val="0"/>
      <charset val="1"/>
    </font>
    <font>
      <b val="true"/>
      <sz val="16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b val="true"/>
      <sz val="10"/>
      <color rgb="FFD4AF37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7A5C00"/>
      <name val="Arial"/>
      <family val="0"/>
      <charset val="1"/>
    </font>
    <font>
      <b val="true"/>
      <sz val="15"/>
      <color rgb="FF404040"/>
      <name val="Arial"/>
      <family val="0"/>
      <charset val="1"/>
    </font>
    <font>
      <b val="true"/>
      <sz val="15"/>
      <color rgb="FF1B5E20"/>
      <name val="Arial"/>
      <family val="0"/>
      <charset val="1"/>
    </font>
    <font>
      <b val="true"/>
      <sz val="15"/>
      <color rgb="FF0D47A1"/>
      <name val="Arial"/>
      <family val="0"/>
      <charset val="1"/>
    </font>
    <font>
      <b val="true"/>
      <sz val="15"/>
      <color rgb="FF4A148C"/>
      <name val="Arial"/>
      <family val="0"/>
      <charset val="1"/>
    </font>
    <font>
      <b val="true"/>
      <sz val="15"/>
      <color rgb="FF8E0000"/>
      <name val="Arial"/>
      <family val="0"/>
      <charset val="1"/>
    </font>
    <font>
      <b val="true"/>
      <sz val="15"/>
      <color rgb="FFBF360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AEFF7"/>
        <bgColor rgb="FFF5F7FB"/>
      </patternFill>
    </fill>
    <fill>
      <patternFill patternType="solid">
        <fgColor rgb="FFFFFFFF"/>
        <bgColor rgb="FFF5F7FB"/>
      </patternFill>
    </fill>
    <fill>
      <patternFill patternType="solid">
        <fgColor rgb="FFF5F7FB"/>
        <bgColor rgb="FFFFFFFF"/>
      </patternFill>
    </fill>
    <fill>
      <patternFill patternType="solid">
        <fgColor rgb="FF0F766E"/>
        <bgColor rgb="FF2E7D32"/>
      </patternFill>
    </fill>
    <fill>
      <patternFill patternType="solid">
        <fgColor rgb="FFDDE7F5"/>
        <bgColor rgb="FFEAEFF7"/>
      </patternFill>
    </fill>
    <fill>
      <patternFill patternType="solid">
        <fgColor rgb="FF7A5C00"/>
        <bgColor rgb="FF595959"/>
      </patternFill>
    </fill>
    <fill>
      <patternFill patternType="solid">
        <fgColor rgb="FF1B5E20"/>
        <bgColor rgb="FF2E7D32"/>
      </patternFill>
    </fill>
    <fill>
      <patternFill patternType="solid">
        <fgColor rgb="FF0D47A1"/>
        <bgColor rgb="FF2E5496"/>
      </patternFill>
    </fill>
    <fill>
      <patternFill patternType="solid">
        <fgColor rgb="FF4A148C"/>
        <bgColor rgb="FF6A1B9A"/>
      </patternFill>
    </fill>
    <fill>
      <patternFill patternType="solid">
        <fgColor rgb="FF8E0000"/>
        <bgColor rgb="FF800000"/>
      </patternFill>
    </fill>
    <fill>
      <patternFill patternType="solid">
        <fgColor rgb="FFBF360C"/>
        <bgColor rgb="FFC6282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CEDB"/>
      </left>
      <right style="thin">
        <color rgb="FFC7CEDB"/>
      </right>
      <top style="thin">
        <color rgb="FFC7CEDB"/>
      </top>
      <bottom style="thin">
        <color rgb="FFC7CEDB"/>
      </bottom>
      <diagonal/>
    </border>
    <border diagonalUp="false" diagonalDown="false">
      <left style="thin">
        <color rgb="FFC7CEDB"/>
      </left>
      <right/>
      <top style="thin">
        <color rgb="FFC7CEDB"/>
      </top>
      <bottom style="thin">
        <color rgb="FFC7CE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E0000"/>
      <rgbColor rgb="FF1B5E20"/>
      <rgbColor rgb="FF000080"/>
      <rgbColor rgb="FF7A5C00"/>
      <rgbColor rgb="FF6A1B9A"/>
      <rgbColor rgb="FF0F766E"/>
      <rgbColor rgb="FFD9D9D9"/>
      <rgbColor rgb="FF808080"/>
      <rgbColor rgb="FF9999FF"/>
      <rgbColor rgb="FFC62828"/>
      <rgbColor rgb="FFF5F7FB"/>
      <rgbColor rgb="FFEAEFF7"/>
      <rgbColor rgb="FF4A148C"/>
      <rgbColor rgb="FFFF8080"/>
      <rgbColor rgb="FF1565C0"/>
      <rgbColor rgb="FFC7CEDB"/>
      <rgbColor rgb="FF000080"/>
      <rgbColor rgb="FFFF00FF"/>
      <rgbColor rgb="FFFFFF00"/>
      <rgbColor rgb="FF00FFFF"/>
      <rgbColor rgb="FF800080"/>
      <rgbColor rgb="FF800000"/>
      <rgbColor rgb="FF0D47A1"/>
      <rgbColor rgb="FF0000FF"/>
      <rgbColor rgb="FF00CCFF"/>
      <rgbColor rgb="FFDDE7F5"/>
      <rgbColor rgb="FFCCFFCC"/>
      <rgbColor rgb="FFFFFF99"/>
      <rgbColor rgb="FFAFC8E8"/>
      <rgbColor rgb="FFFF99CC"/>
      <rgbColor rgb="FFCC99FF"/>
      <rgbColor rgb="FFFFCC99"/>
      <rgbColor rgb="FF4F81BD"/>
      <rgbColor rgb="FF33CCCC"/>
      <rgbColor rgb="FF99CC00"/>
      <rgbColor rgb="FFFFCC00"/>
      <rgbColor rgb="FFD4AF37"/>
      <rgbColor rgb="FFE65100"/>
      <rgbColor rgb="FF595959"/>
      <rgbColor rgb="FF878787"/>
      <rgbColor rgb="FF1F3864"/>
      <rgbColor rgb="FF2E7D32"/>
      <rgbColor rgb="FF003300"/>
      <rgbColor rgb="FF333300"/>
      <rgbColor rgb="FFBF360C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Charts!B8</c:f>
              <c:strCache>
                <c:ptCount val="1"/>
                <c:pt idx="0">
                  <c:v>Amount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4af3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565c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1b9a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62828"/>
              </a:solidFill>
              <a:ln w="0">
                <a:noFill/>
              </a:ln>
            </c:spPr>
          </c:dPt>
          <c:dPt>
            <c:idx val="5"/>
            <c:spPr>
              <a:solidFill>
                <a:srgbClr val="e651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Charts!$A$9:$A$14</c:f>
              <c:strCache>
                <c:ptCount val="6"/>
                <c:pt idx="0">
                  <c:v>Gold</c:v>
                </c:pt>
                <c:pt idx="1">
                  <c:v>Fixed Deposit</c:v>
                </c:pt>
                <c:pt idx="2">
                  <c:v>Mutual Funds</c:v>
                </c:pt>
                <c:pt idx="3">
                  <c:v>Stocks</c:v>
                </c:pt>
                <c:pt idx="4">
                  <c:v>IPO</c:v>
                </c:pt>
                <c:pt idx="5">
                  <c:v>Real Estate</c:v>
                </c:pt>
              </c:strCache>
            </c:strRef>
          </c:cat>
          <c:val>
            <c:numRef>
              <c:f>Charts!$B$9:$B$14</c:f>
              <c:numCache>
                <c:formatCode>\₹###,##0;"-₹"###,##0;\–</c:formatCode>
                <c:ptCount val="6"/>
                <c:pt idx="0">
                  <c:v>420000</c:v>
                </c:pt>
                <c:pt idx="1">
                  <c:v>250000</c:v>
                </c:pt>
                <c:pt idx="2">
                  <c:v>200000</c:v>
                </c:pt>
                <c:pt idx="3">
                  <c:v>118750</c:v>
                </c:pt>
                <c:pt idx="4">
                  <c:v>30000</c:v>
                </c:pt>
                <c:pt idx="5">
                  <c:v>750000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Investment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Invested (₹)</c:v>
                </c:pt>
              </c:strCache>
            </c:strRef>
          </c:tx>
          <c:spPr>
            <a:solidFill>
              <a:srgbClr val="2e549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Charts!$A$19:$A$31</c:f>
              <c:strCache>
                <c:ptCount val="13"/>
                <c:pt idx="0">
                  <c:v>Dec 2025</c:v>
                </c:pt>
                <c:pt idx="1">
                  <c:v>Jan 2026</c:v>
                </c:pt>
                <c:pt idx="2">
                  <c:v>Feb 2026</c:v>
                </c:pt>
                <c:pt idx="3">
                  <c:v>Mar 2026</c:v>
                </c:pt>
                <c:pt idx="4">
                  <c:v>Apr 2026</c:v>
                </c:pt>
                <c:pt idx="5">
                  <c:v>May 2026</c:v>
                </c:pt>
                <c:pt idx="6">
                  <c:v>Jun 2026</c:v>
                </c:pt>
                <c:pt idx="7">
                  <c:v>Jul 2026</c:v>
                </c:pt>
                <c:pt idx="8">
                  <c:v>Aug 2026</c:v>
                </c:pt>
                <c:pt idx="9">
                  <c:v>Sep 2026</c:v>
                </c:pt>
                <c:pt idx="10">
                  <c:v>Oct 2026</c:v>
                </c:pt>
                <c:pt idx="11">
                  <c:v>Nov 2026</c:v>
                </c:pt>
                <c:pt idx="12">
                  <c:v>Dec 2026</c:v>
                </c:pt>
              </c:strCache>
            </c:strRef>
          </c:cat>
          <c:val>
            <c:numRef>
              <c:f>Charts!$B$19:$B$31</c:f>
              <c:numCache>
                <c:formatCode>\₹###,##0;"-₹"###,##0;\–</c:formatCode>
                <c:ptCount val="13"/>
                <c:pt idx="0">
                  <c:v>750000</c:v>
                </c:pt>
                <c:pt idx="1">
                  <c:v>0</c:v>
                </c:pt>
                <c:pt idx="2">
                  <c:v>350000</c:v>
                </c:pt>
                <c:pt idx="3">
                  <c:v>100000</c:v>
                </c:pt>
                <c:pt idx="4">
                  <c:v>100000</c:v>
                </c:pt>
                <c:pt idx="5">
                  <c:v>50000</c:v>
                </c:pt>
                <c:pt idx="6">
                  <c:v>120000</c:v>
                </c:pt>
                <c:pt idx="7">
                  <c:v>20000</c:v>
                </c:pt>
                <c:pt idx="8">
                  <c:v>278750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60"/>
        <c:overlap val="0"/>
        <c:axId val="90676236"/>
        <c:axId val="25732955"/>
      </c:barChart>
      <c:catAx>
        <c:axId val="90676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32955"/>
        <c:crosses val="autoZero"/>
        <c:auto val="1"/>
        <c:lblAlgn val="ctr"/>
        <c:lblOffset val="100"/>
        <c:noMultiLvlLbl val="0"/>
      </c:catAx>
      <c:valAx>
        <c:axId val="25732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#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762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Investment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Charts!C18</c:f>
              <c:strCache>
                <c:ptCount val="1"/>
                <c:pt idx="0">
                  <c:v>Cumulative (₹)</c:v>
                </c:pt>
              </c:strCache>
            </c:strRef>
          </c:tx>
          <c:spPr>
            <a:solidFill>
              <a:srgbClr val="afc8e8"/>
            </a:solidFill>
            <a:ln w="0">
              <a:solidFill>
                <a:srgbClr val="1f3864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Charts!$A$19:$A$31</c:f>
              <c:strCache>
                <c:ptCount val="13"/>
                <c:pt idx="0">
                  <c:v>Dec 2025</c:v>
                </c:pt>
                <c:pt idx="1">
                  <c:v>Jan 2026</c:v>
                </c:pt>
                <c:pt idx="2">
                  <c:v>Feb 2026</c:v>
                </c:pt>
                <c:pt idx="3">
                  <c:v>Mar 2026</c:v>
                </c:pt>
                <c:pt idx="4">
                  <c:v>Apr 2026</c:v>
                </c:pt>
                <c:pt idx="5">
                  <c:v>May 2026</c:v>
                </c:pt>
                <c:pt idx="6">
                  <c:v>Jun 2026</c:v>
                </c:pt>
                <c:pt idx="7">
                  <c:v>Jul 2026</c:v>
                </c:pt>
                <c:pt idx="8">
                  <c:v>Aug 2026</c:v>
                </c:pt>
                <c:pt idx="9">
                  <c:v>Sep 2026</c:v>
                </c:pt>
                <c:pt idx="10">
                  <c:v>Oct 2026</c:v>
                </c:pt>
                <c:pt idx="11">
                  <c:v>Nov 2026</c:v>
                </c:pt>
                <c:pt idx="12">
                  <c:v>Dec 2026</c:v>
                </c:pt>
              </c:strCache>
            </c:strRef>
          </c:cat>
          <c:val>
            <c:numRef>
              <c:f>Charts!$C$19:$C$31</c:f>
              <c:numCache>
                <c:formatCode>\₹###,##0;"-₹"###,##0;\–</c:formatCode>
                <c:ptCount val="13"/>
                <c:pt idx="0">
                  <c:v>750000</c:v>
                </c:pt>
                <c:pt idx="1">
                  <c:v>750000</c:v>
                </c:pt>
                <c:pt idx="2">
                  <c:v>1100000</c:v>
                </c:pt>
                <c:pt idx="3">
                  <c:v>1200000</c:v>
                </c:pt>
                <c:pt idx="4">
                  <c:v>1300000</c:v>
                </c:pt>
                <c:pt idx="5">
                  <c:v>1350000</c:v>
                </c:pt>
                <c:pt idx="6">
                  <c:v>1470000</c:v>
                </c:pt>
                <c:pt idx="7">
                  <c:v>1490000</c:v>
                </c:pt>
                <c:pt idx="8">
                  <c:v>1768750</c:v>
                </c:pt>
                <c:pt idx="9">
                  <c:v>1768750</c:v>
                </c:pt>
                <c:pt idx="10">
                  <c:v>1768750</c:v>
                </c:pt>
                <c:pt idx="11">
                  <c:v>1768750</c:v>
                </c:pt>
                <c:pt idx="12">
                  <c:v>1768750</c:v>
                </c:pt>
              </c:numCache>
            </c:numRef>
          </c:val>
        </c:ser>
        <c:axId val="57468080"/>
        <c:axId val="82231518"/>
      </c:areaChart>
      <c:catAx>
        <c:axId val="574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31518"/>
        <c:crosses val="autoZero"/>
        <c:auto val="1"/>
        <c:lblAlgn val="ctr"/>
        <c:lblOffset val="100"/>
        <c:noMultiLvlLbl val="0"/>
      </c:catAx>
      <c:valAx>
        <c:axId val="82231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#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680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12</xdr:col>
      <xdr:colOff>398880</xdr:colOff>
      <xdr:row>22</xdr:row>
      <xdr:rowOff>109080</xdr:rowOff>
    </xdr:to>
    <xdr:graphicFrame>
      <xdr:nvGraphicFramePr>
        <xdr:cNvPr id="0" name="Chart 1"/>
        <xdr:cNvGraphicFramePr/>
      </xdr:nvGraphicFramePr>
      <xdr:xfrm>
        <a:off x="6625440" y="181944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97200</xdr:rowOff>
    </xdr:from>
    <xdr:to>
      <xdr:col>15</xdr:col>
      <xdr:colOff>4320</xdr:colOff>
      <xdr:row>40</xdr:row>
      <xdr:rowOff>109080</xdr:rowOff>
    </xdr:to>
    <xdr:graphicFrame>
      <xdr:nvGraphicFramePr>
        <xdr:cNvPr id="1" name="Chart 2"/>
        <xdr:cNvGraphicFramePr/>
      </xdr:nvGraphicFramePr>
      <xdr:xfrm>
        <a:off x="6625440" y="52484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42</xdr:row>
      <xdr:rowOff>97200</xdr:rowOff>
    </xdr:from>
    <xdr:to>
      <xdr:col>15</xdr:col>
      <xdr:colOff>4320</xdr:colOff>
      <xdr:row>58</xdr:row>
      <xdr:rowOff>109080</xdr:rowOff>
    </xdr:to>
    <xdr:graphicFrame>
      <xdr:nvGraphicFramePr>
        <xdr:cNvPr id="2" name="Chart 3"/>
        <xdr:cNvGraphicFramePr/>
      </xdr:nvGraphicFramePr>
      <xdr:xfrm>
        <a:off x="6625440" y="86774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1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true" outlineLevel="0" max="13" min="12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.7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 t="s">
        <v>4</v>
      </c>
    </row>
    <row r="5" customFormat="false" ht="30" hidden="false" customHeight="true" outlineLevel="0" collapsed="false">
      <c r="A5" s="4" t="n">
        <f aca="false">SUM($E$8:$E$500)</f>
        <v>1768750</v>
      </c>
      <c r="B5" s="4"/>
      <c r="C5" s="4"/>
      <c r="D5" s="5" t="n">
        <f aca="false">SUM($F$8:$F$500)</f>
        <v>137.5</v>
      </c>
      <c r="E5" s="5"/>
      <c r="F5" s="6" t="n">
        <f aca="false">COUNTA($C$8:$C$500)</f>
        <v>15</v>
      </c>
    </row>
    <row r="7" customFormat="false" ht="30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</row>
    <row r="8" customFormat="false" ht="19.5" hidden="false" customHeight="true" outlineLevel="0" collapsed="false">
      <c r="A8" s="8" t="n">
        <f aca="false">IF($C8="","",ROW()-7)</f>
        <v>1</v>
      </c>
      <c r="B8" s="9" t="s">
        <v>15</v>
      </c>
      <c r="C8" s="9" t="s">
        <v>16</v>
      </c>
      <c r="D8" s="10" t="s">
        <v>17</v>
      </c>
      <c r="E8" s="11"/>
      <c r="F8" s="12" t="n">
        <v>84.2</v>
      </c>
      <c r="G8" s="10" t="s">
        <v>18</v>
      </c>
      <c r="H8" s="13" t="s">
        <v>19</v>
      </c>
      <c r="I8" s="14" t="str">
        <f aca="false">IF(OR($B8="",ISTEXT($B8)),IF($B8="Opening","Opening",""),TEXT($B8,"mmm yyyy"))</f>
        <v>Opening</v>
      </c>
      <c r="J8" s="15" t="n">
        <f aca="false">IF(AND($E8="",$F8=""),"",SUM($E$8:$E8))</f>
        <v>0</v>
      </c>
      <c r="L8" s="16" t="n">
        <f aca="false">IF($C8="","",COUNTIFS($C$8:$C8,$C8))</f>
        <v>1</v>
      </c>
      <c r="M8" s="0" t="str">
        <f aca="false">IF($C8="","",$C8&amp;"|"&amp;$L8)</f>
        <v>Gold|1</v>
      </c>
    </row>
    <row r="9" customFormat="false" ht="19.5" hidden="false" customHeight="true" outlineLevel="0" collapsed="false">
      <c r="A9" s="17" t="n">
        <f aca="false">IF($C9="","",ROW()-7)</f>
        <v>2</v>
      </c>
      <c r="B9" s="18" t="n">
        <v>45658</v>
      </c>
      <c r="C9" s="19" t="s">
        <v>16</v>
      </c>
      <c r="D9" s="20"/>
      <c r="E9" s="21"/>
      <c r="F9" s="22" t="n">
        <v>12.9</v>
      </c>
      <c r="G9" s="20" t="s">
        <v>18</v>
      </c>
      <c r="H9" s="23" t="s">
        <v>20</v>
      </c>
      <c r="I9" s="24" t="str">
        <f aca="false">IF(OR($B9="",ISTEXT($B9)),IF($B9="Opening","Opening",""),TEXT($B9,"mmm yyyy"))</f>
        <v>Jan 2025</v>
      </c>
      <c r="J9" s="25" t="n">
        <f aca="false">IF(AND($E9="",$F9=""),"",SUM($E$8:$E9))</f>
        <v>0</v>
      </c>
      <c r="L9" s="16" t="n">
        <f aca="false">IF($C9="","",COUNTIFS($C$8:$C9,$C9))</f>
        <v>2</v>
      </c>
      <c r="M9" s="0" t="str">
        <f aca="false">IF($C9="","",$C9&amp;"|"&amp;$L9)</f>
        <v>Gold|2</v>
      </c>
    </row>
    <row r="10" customFormat="false" ht="19.5" hidden="false" customHeight="true" outlineLevel="0" collapsed="false">
      <c r="A10" s="8" t="n">
        <f aca="false">IF($C10="","",ROW()-7)</f>
        <v>3</v>
      </c>
      <c r="B10" s="26" t="n">
        <v>45717</v>
      </c>
      <c r="C10" s="9" t="s">
        <v>16</v>
      </c>
      <c r="D10" s="10"/>
      <c r="E10" s="11"/>
      <c r="F10" s="12" t="n">
        <v>10.9</v>
      </c>
      <c r="G10" s="10" t="s">
        <v>18</v>
      </c>
      <c r="H10" s="13" t="s">
        <v>21</v>
      </c>
      <c r="I10" s="14" t="str">
        <f aca="false">IF(OR($B10="",ISTEXT($B10)),IF($B10="Opening","Opening",""),TEXT($B10,"mmm yyyy"))</f>
        <v>Mar 2025</v>
      </c>
      <c r="J10" s="15" t="n">
        <f aca="false">IF(AND($E10="",$F10=""),"",SUM($E$8:$E10))</f>
        <v>0</v>
      </c>
      <c r="L10" s="16" t="n">
        <f aca="false">IF($C10="","",COUNTIFS($C$8:$C10,$C10))</f>
        <v>3</v>
      </c>
      <c r="M10" s="0" t="str">
        <f aca="false">IF($C10="","",$C10&amp;"|"&amp;$L10)</f>
        <v>Gold|3</v>
      </c>
    </row>
    <row r="11" customFormat="false" ht="19.5" hidden="false" customHeight="true" outlineLevel="0" collapsed="false">
      <c r="A11" s="17" t="n">
        <f aca="false">IF($C11="","",ROW()-7)</f>
        <v>4</v>
      </c>
      <c r="B11" s="18" t="n">
        <v>45992</v>
      </c>
      <c r="C11" s="19" t="s">
        <v>22</v>
      </c>
      <c r="D11" s="20" t="s">
        <v>23</v>
      </c>
      <c r="E11" s="27" t="n">
        <v>750000</v>
      </c>
      <c r="F11" s="21"/>
      <c r="G11" s="20" t="s">
        <v>23</v>
      </c>
      <c r="H11" s="23" t="s">
        <v>24</v>
      </c>
      <c r="I11" s="24" t="str">
        <f aca="false">IF(OR($B11="",ISTEXT($B11)),IF($B11="Opening","Opening",""),TEXT($B11,"mmm yyyy"))</f>
        <v>Dec 2025</v>
      </c>
      <c r="J11" s="25" t="n">
        <f aca="false">IF(AND($E11="",$F11=""),"",SUM($E$8:$E11))</f>
        <v>750000</v>
      </c>
      <c r="L11" s="16" t="n">
        <f aca="false">IF($C11="","",COUNTIFS($C$8:$C11,$C11))</f>
        <v>1</v>
      </c>
      <c r="M11" s="0" t="str">
        <f aca="false">IF($C11="","",$C11&amp;"|"&amp;$L11)</f>
        <v>Real Estate|1</v>
      </c>
    </row>
    <row r="12" customFormat="false" ht="19.5" hidden="false" customHeight="true" outlineLevel="0" collapsed="false">
      <c r="A12" s="8" t="n">
        <f aca="false">IF($C12="","",ROW()-7)</f>
        <v>5</v>
      </c>
      <c r="B12" s="26" t="n">
        <v>46054</v>
      </c>
      <c r="C12" s="9" t="s">
        <v>25</v>
      </c>
      <c r="D12" s="10" t="s">
        <v>26</v>
      </c>
      <c r="E12" s="28" t="n">
        <v>200000</v>
      </c>
      <c r="F12" s="11"/>
      <c r="G12" s="10" t="s">
        <v>27</v>
      </c>
      <c r="H12" s="13" t="s">
        <v>28</v>
      </c>
      <c r="I12" s="14" t="str">
        <f aca="false">IF(OR($B12="",ISTEXT($B12)),IF($B12="Opening","Opening",""),TEXT($B12,"mmm yyyy"))</f>
        <v>Feb 2026</v>
      </c>
      <c r="J12" s="15" t="n">
        <f aca="false">IF(AND($E12="",$F12=""),"",SUM($E$8:$E12))</f>
        <v>950000</v>
      </c>
      <c r="L12" s="16" t="n">
        <f aca="false">IF($C12="","",COUNTIFS($C$8:$C12,$C12))</f>
        <v>1</v>
      </c>
      <c r="M12" s="0" t="str">
        <f aca="false">IF($C12="","",$C12&amp;"|"&amp;$L12)</f>
        <v>Mutual Funds|1</v>
      </c>
    </row>
    <row r="13" customFormat="false" ht="19.5" hidden="false" customHeight="true" outlineLevel="0" collapsed="false">
      <c r="A13" s="17" t="n">
        <f aca="false">IF($C13="","",ROW()-7)</f>
        <v>6</v>
      </c>
      <c r="B13" s="18" t="n">
        <v>46054</v>
      </c>
      <c r="C13" s="19" t="s">
        <v>29</v>
      </c>
      <c r="D13" s="20" t="s">
        <v>30</v>
      </c>
      <c r="E13" s="27" t="n">
        <v>150000</v>
      </c>
      <c r="F13" s="21"/>
      <c r="G13" s="20" t="s">
        <v>31</v>
      </c>
      <c r="H13" s="23" t="s">
        <v>32</v>
      </c>
      <c r="I13" s="24" t="str">
        <f aca="false">IF(OR($B13="",ISTEXT($B13)),IF($B13="Opening","Opening",""),TEXT($B13,"mmm yyyy"))</f>
        <v>Feb 2026</v>
      </c>
      <c r="J13" s="25" t="n">
        <f aca="false">IF(AND($E13="",$F13=""),"",SUM($E$8:$E13))</f>
        <v>1100000</v>
      </c>
      <c r="L13" s="16" t="n">
        <f aca="false">IF($C13="","",COUNTIFS($C$8:$C13,$C13))</f>
        <v>1</v>
      </c>
      <c r="M13" s="0" t="str">
        <f aca="false">IF($C13="","",$C13&amp;"|"&amp;$L13)</f>
        <v>Fixed Deposit|1</v>
      </c>
    </row>
    <row r="14" customFormat="false" ht="19.5" hidden="false" customHeight="true" outlineLevel="0" collapsed="false">
      <c r="A14" s="8" t="n">
        <f aca="false">IF($C14="","",ROW()-7)</f>
        <v>7</v>
      </c>
      <c r="B14" s="26" t="n">
        <v>46082</v>
      </c>
      <c r="C14" s="9" t="s">
        <v>16</v>
      </c>
      <c r="D14" s="10"/>
      <c r="E14" s="28" t="n">
        <v>100000</v>
      </c>
      <c r="F14" s="12" t="n">
        <v>6.62</v>
      </c>
      <c r="G14" s="10" t="s">
        <v>18</v>
      </c>
      <c r="H14" s="13" t="s">
        <v>33</v>
      </c>
      <c r="I14" s="14" t="str">
        <f aca="false">IF(OR($B14="",ISTEXT($B14)),IF($B14="Opening","Opening",""),TEXT($B14,"mmm yyyy"))</f>
        <v>Mar 2026</v>
      </c>
      <c r="J14" s="15" t="n">
        <f aca="false">IF(AND($E14="",$F14=""),"",SUM($E$8:$E14))</f>
        <v>1200000</v>
      </c>
      <c r="L14" s="16" t="n">
        <f aca="false">IF($C14="","",COUNTIFS($C$8:$C14,$C14))</f>
        <v>4</v>
      </c>
      <c r="M14" s="0" t="str">
        <f aca="false">IF($C14="","",$C14&amp;"|"&amp;$L14)</f>
        <v>Gold|4</v>
      </c>
    </row>
    <row r="15" customFormat="false" ht="19.5" hidden="false" customHeight="true" outlineLevel="0" collapsed="false">
      <c r="A15" s="17" t="n">
        <f aca="false">IF($C15="","",ROW()-7)</f>
        <v>8</v>
      </c>
      <c r="B15" s="18" t="n">
        <v>46113</v>
      </c>
      <c r="C15" s="19" t="s">
        <v>16</v>
      </c>
      <c r="D15" s="20"/>
      <c r="E15" s="27" t="n">
        <v>100000</v>
      </c>
      <c r="F15" s="22" t="n">
        <v>6.58</v>
      </c>
      <c r="G15" s="20" t="s">
        <v>18</v>
      </c>
      <c r="H15" s="23" t="s">
        <v>34</v>
      </c>
      <c r="I15" s="24" t="str">
        <f aca="false">IF(OR($B15="",ISTEXT($B15)),IF($B15="Opening","Opening",""),TEXT($B15,"mmm yyyy"))</f>
        <v>Apr 2026</v>
      </c>
      <c r="J15" s="25" t="n">
        <f aca="false">IF(AND($E15="",$F15=""),"",SUM($E$8:$E15))</f>
        <v>1300000</v>
      </c>
      <c r="L15" s="16" t="n">
        <f aca="false">IF($C15="","",COUNTIFS($C$8:$C15,$C15))</f>
        <v>5</v>
      </c>
      <c r="M15" s="0" t="str">
        <f aca="false">IF($C15="","",$C15&amp;"|"&amp;$L15)</f>
        <v>Gold|5</v>
      </c>
    </row>
    <row r="16" customFormat="false" ht="19.5" hidden="false" customHeight="true" outlineLevel="0" collapsed="false">
      <c r="A16" s="8" t="n">
        <f aca="false">IF($C16="","",ROW()-7)</f>
        <v>9</v>
      </c>
      <c r="B16" s="26" t="n">
        <v>46143</v>
      </c>
      <c r="C16" s="9" t="s">
        <v>29</v>
      </c>
      <c r="D16" s="10" t="s">
        <v>35</v>
      </c>
      <c r="E16" s="28" t="n">
        <v>50000</v>
      </c>
      <c r="F16" s="11"/>
      <c r="G16" s="10" t="s">
        <v>18</v>
      </c>
      <c r="H16" s="13" t="s">
        <v>36</v>
      </c>
      <c r="I16" s="14" t="str">
        <f aca="false">IF(OR($B16="",ISTEXT($B16)),IF($B16="Opening","Opening",""),TEXT($B16,"mmm yyyy"))</f>
        <v>May 2026</v>
      </c>
      <c r="J16" s="15" t="n">
        <f aca="false">IF(AND($E16="",$F16=""),"",SUM($E$8:$E16))</f>
        <v>1350000</v>
      </c>
      <c r="L16" s="16" t="n">
        <f aca="false">IF($C16="","",COUNTIFS($C$8:$C16,$C16))</f>
        <v>2</v>
      </c>
      <c r="M16" s="0" t="str">
        <f aca="false">IF($C16="","",$C16&amp;"|"&amp;$L16)</f>
        <v>Fixed Deposit|2</v>
      </c>
    </row>
    <row r="17" customFormat="false" ht="19.5" hidden="false" customHeight="true" outlineLevel="0" collapsed="false">
      <c r="A17" s="17" t="n">
        <f aca="false">IF($C17="","",ROW()-7)</f>
        <v>10</v>
      </c>
      <c r="B17" s="18" t="n">
        <v>46174</v>
      </c>
      <c r="C17" s="19" t="s">
        <v>16</v>
      </c>
      <c r="D17" s="20"/>
      <c r="E17" s="27" t="n">
        <v>120000</v>
      </c>
      <c r="F17" s="22" t="n">
        <v>10</v>
      </c>
      <c r="G17" s="20" t="s">
        <v>18</v>
      </c>
      <c r="H17" s="23" t="s">
        <v>37</v>
      </c>
      <c r="I17" s="24" t="str">
        <f aca="false">IF(OR($B17="",ISTEXT($B17)),IF($B17="Opening","Opening",""),TEXT($B17,"mmm yyyy"))</f>
        <v>Jun 2026</v>
      </c>
      <c r="J17" s="25" t="n">
        <f aca="false">IF(AND($E17="",$F17=""),"",SUM($E$8:$E17))</f>
        <v>1470000</v>
      </c>
      <c r="L17" s="16" t="n">
        <f aca="false">IF($C17="","",COUNTIFS($C$8:$C17,$C17))</f>
        <v>6</v>
      </c>
      <c r="M17" s="0" t="str">
        <f aca="false">IF($C17="","",$C17&amp;"|"&amp;$L17)</f>
        <v>Gold|6</v>
      </c>
    </row>
    <row r="18" customFormat="false" ht="19.5" hidden="false" customHeight="true" outlineLevel="0" collapsed="false">
      <c r="A18" s="8" t="n">
        <f aca="false">IF($C18="","",ROW()-7)</f>
        <v>11</v>
      </c>
      <c r="B18" s="26" t="n">
        <v>46204</v>
      </c>
      <c r="C18" s="9" t="s">
        <v>38</v>
      </c>
      <c r="D18" s="10" t="s">
        <v>39</v>
      </c>
      <c r="E18" s="28" t="n">
        <v>20000</v>
      </c>
      <c r="F18" s="11"/>
      <c r="G18" s="10" t="s">
        <v>18</v>
      </c>
      <c r="H18" s="13" t="s">
        <v>40</v>
      </c>
      <c r="I18" s="14" t="str">
        <f aca="false">IF(OR($B18="",ISTEXT($B18)),IF($B18="Opening","Opening",""),TEXT($B18,"mmm yyyy"))</f>
        <v>Jul 2026</v>
      </c>
      <c r="J18" s="15" t="n">
        <f aca="false">IF(AND($E18="",$F18=""),"",SUM($E$8:$E18))</f>
        <v>1490000</v>
      </c>
      <c r="L18" s="16" t="n">
        <f aca="false">IF($C18="","",COUNTIFS($C$8:$C18,$C18))</f>
        <v>1</v>
      </c>
      <c r="M18" s="0" t="str">
        <f aca="false">IF($C18="","",$C18&amp;"|"&amp;$L18)</f>
        <v>Stocks|1</v>
      </c>
    </row>
    <row r="19" customFormat="false" ht="19.5" hidden="false" customHeight="true" outlineLevel="0" collapsed="false">
      <c r="A19" s="17" t="n">
        <f aca="false">IF($C19="","",ROW()-7)</f>
        <v>12</v>
      </c>
      <c r="B19" s="18" t="n">
        <v>46237</v>
      </c>
      <c r="C19" s="19" t="s">
        <v>38</v>
      </c>
      <c r="D19" s="20" t="s">
        <v>41</v>
      </c>
      <c r="E19" s="27" t="n">
        <v>98750</v>
      </c>
      <c r="F19" s="21"/>
      <c r="G19" s="20" t="s">
        <v>18</v>
      </c>
      <c r="H19" s="23"/>
      <c r="I19" s="24" t="str">
        <f aca="false">IF(OR($B19="",ISTEXT($B19)),IF($B19="Opening","Opening",""),TEXT($B19,"mmm yyyy"))</f>
        <v>Aug 2026</v>
      </c>
      <c r="J19" s="25" t="n">
        <f aca="false">IF(AND($E19="",$F19=""),"",SUM($E$8:$E19))</f>
        <v>1588750</v>
      </c>
      <c r="L19" s="16" t="n">
        <f aca="false">IF($C19="","",COUNTIFS($C$8:$C19,$C19))</f>
        <v>2</v>
      </c>
      <c r="M19" s="0" t="str">
        <f aca="false">IF($C19="","",$C19&amp;"|"&amp;$L19)</f>
        <v>Stocks|2</v>
      </c>
    </row>
    <row r="20" customFormat="false" ht="19.5" hidden="false" customHeight="true" outlineLevel="0" collapsed="false">
      <c r="A20" s="8" t="n">
        <f aca="false">IF($C20="","",ROW()-7)</f>
        <v>13</v>
      </c>
      <c r="B20" s="26" t="n">
        <v>46237</v>
      </c>
      <c r="C20" s="9" t="s">
        <v>42</v>
      </c>
      <c r="D20" s="10" t="s">
        <v>43</v>
      </c>
      <c r="E20" s="28" t="n">
        <v>30000</v>
      </c>
      <c r="F20" s="11"/>
      <c r="G20" s="10" t="s">
        <v>18</v>
      </c>
      <c r="H20" s="13" t="s">
        <v>44</v>
      </c>
      <c r="I20" s="14" t="str">
        <f aca="false">IF(OR($B20="",ISTEXT($B20)),IF($B20="Opening","Opening",""),TEXT($B20,"mmm yyyy"))</f>
        <v>Aug 2026</v>
      </c>
      <c r="J20" s="15" t="n">
        <f aca="false">IF(AND($E20="",$F20=""),"",SUM($E$8:$E20))</f>
        <v>1618750</v>
      </c>
      <c r="L20" s="16" t="n">
        <f aca="false">IF($C20="","",COUNTIFS($C$8:$C20,$C20))</f>
        <v>1</v>
      </c>
      <c r="M20" s="0" t="str">
        <f aca="false">IF($C20="","",$C20&amp;"|"&amp;$L20)</f>
        <v>IPO|1</v>
      </c>
    </row>
    <row r="21" customFormat="false" ht="19.5" hidden="false" customHeight="true" outlineLevel="0" collapsed="false">
      <c r="A21" s="17" t="n">
        <f aca="false">IF($C21="","",ROW()-7)</f>
        <v>14</v>
      </c>
      <c r="B21" s="18" t="n">
        <v>46237</v>
      </c>
      <c r="C21" s="19" t="s">
        <v>16</v>
      </c>
      <c r="D21" s="20"/>
      <c r="E21" s="27" t="n">
        <v>100000</v>
      </c>
      <c r="F21" s="22" t="n">
        <v>6.3</v>
      </c>
      <c r="G21" s="20" t="s">
        <v>18</v>
      </c>
      <c r="H21" s="23" t="s">
        <v>45</v>
      </c>
      <c r="I21" s="24" t="str">
        <f aca="false">IF(OR($B21="",ISTEXT($B21)),IF($B21="Opening","Opening",""),TEXT($B21,"mmm yyyy"))</f>
        <v>Aug 2026</v>
      </c>
      <c r="J21" s="25" t="n">
        <f aca="false">IF(AND($E21="",$F21=""),"",SUM($E$8:$E21))</f>
        <v>1718750</v>
      </c>
      <c r="L21" s="16" t="n">
        <f aca="false">IF($C21="","",COUNTIFS($C$8:$C21,$C21))</f>
        <v>7</v>
      </c>
      <c r="M21" s="0" t="str">
        <f aca="false">IF($C21="","",$C21&amp;"|"&amp;$L21)</f>
        <v>Gold|7</v>
      </c>
    </row>
    <row r="22" customFormat="false" ht="19.5" hidden="false" customHeight="true" outlineLevel="0" collapsed="false">
      <c r="A22" s="8" t="n">
        <f aca="false">IF($C22="","",ROW()-7)</f>
        <v>15</v>
      </c>
      <c r="B22" s="26" t="n">
        <v>46265</v>
      </c>
      <c r="C22" s="9" t="s">
        <v>29</v>
      </c>
      <c r="D22" s="10" t="s">
        <v>30</v>
      </c>
      <c r="E22" s="28" t="n">
        <v>50000</v>
      </c>
      <c r="F22" s="11"/>
      <c r="G22" s="10" t="s">
        <v>31</v>
      </c>
      <c r="H22" s="13" t="s">
        <v>46</v>
      </c>
      <c r="I22" s="14" t="str">
        <f aca="false">IF(OR($B22="",ISTEXT($B22)),IF($B22="Opening","Opening",""),TEXT($B22,"mmm yyyy"))</f>
        <v>Aug 2026</v>
      </c>
      <c r="J22" s="15" t="n">
        <f aca="false">IF(AND($E22="",$F22=""),"",SUM($E$8:$E22))</f>
        <v>1768750</v>
      </c>
      <c r="L22" s="16" t="n">
        <f aca="false">IF($C22="","",COUNTIFS($C$8:$C22,$C22))</f>
        <v>3</v>
      </c>
      <c r="M22" s="0" t="str">
        <f aca="false">IF($C22="","",$C22&amp;"|"&amp;$L22)</f>
        <v>Fixed Deposit|3</v>
      </c>
    </row>
    <row r="23" customFormat="false" ht="19.5" hidden="false" customHeight="true" outlineLevel="0" collapsed="false">
      <c r="A23" s="17" t="str">
        <f aca="false">IF($C23="","",ROW()-7)</f>
        <v/>
      </c>
      <c r="B23" s="19"/>
      <c r="C23" s="19"/>
      <c r="D23" s="20"/>
      <c r="E23" s="21"/>
      <c r="F23" s="21"/>
      <c r="G23" s="20"/>
      <c r="H23" s="23"/>
      <c r="I23" s="24" t="str">
        <f aca="false">IF(OR($B23="",ISTEXT($B23)),IF($B23="Opening","Opening",""),TEXT($B23,"mmm yyyy"))</f>
        <v/>
      </c>
      <c r="J23" s="25" t="str">
        <f aca="false">IF(AND($E23="",$F23=""),"",SUM($E$8:$E23))</f>
        <v/>
      </c>
      <c r="L23" s="0" t="str">
        <f aca="false">IF($C23="","",COUNTIFS($C$8:$C23,$C23))</f>
        <v/>
      </c>
      <c r="M23" s="0" t="str">
        <f aca="false">IF($C23="","",$C23&amp;"|"&amp;$L23)</f>
        <v/>
      </c>
    </row>
    <row r="24" customFormat="false" ht="19.5" hidden="false" customHeight="true" outlineLevel="0" collapsed="false">
      <c r="A24" s="8" t="str">
        <f aca="false">IF($C24="","",ROW()-7)</f>
        <v/>
      </c>
      <c r="B24" s="9"/>
      <c r="C24" s="9"/>
      <c r="D24" s="10"/>
      <c r="E24" s="11"/>
      <c r="F24" s="11"/>
      <c r="G24" s="10"/>
      <c r="H24" s="13"/>
      <c r="I24" s="14" t="str">
        <f aca="false">IF(OR($B24="",ISTEXT($B24)),IF($B24="Opening","Opening",""),TEXT($B24,"mmm yyyy"))</f>
        <v/>
      </c>
      <c r="J24" s="15" t="str">
        <f aca="false">IF(AND($E24="",$F24=""),"",SUM($E$8:$E24))</f>
        <v/>
      </c>
      <c r="L24" s="0" t="str">
        <f aca="false">IF($C24="","",COUNTIFS($C$8:$C24,$C24))</f>
        <v/>
      </c>
      <c r="M24" s="0" t="str">
        <f aca="false">IF($C24="","",$C24&amp;"|"&amp;$L24)</f>
        <v/>
      </c>
    </row>
    <row r="25" customFormat="false" ht="19.5" hidden="false" customHeight="true" outlineLevel="0" collapsed="false">
      <c r="A25" s="17" t="str">
        <f aca="false">IF($C25="","",ROW()-7)</f>
        <v/>
      </c>
      <c r="B25" s="19"/>
      <c r="C25" s="19"/>
      <c r="D25" s="20"/>
      <c r="E25" s="21"/>
      <c r="F25" s="21"/>
      <c r="G25" s="20"/>
      <c r="H25" s="23"/>
      <c r="I25" s="24" t="str">
        <f aca="false">IF(OR($B25="",ISTEXT($B25)),IF($B25="Opening","Opening",""),TEXT($B25,"mmm yyyy"))</f>
        <v/>
      </c>
      <c r="J25" s="25" t="str">
        <f aca="false">IF(AND($E25="",$F25=""),"",SUM($E$8:$E25))</f>
        <v/>
      </c>
      <c r="L25" s="0" t="str">
        <f aca="false">IF($C25="","",COUNTIFS($C$8:$C25,$C25))</f>
        <v/>
      </c>
      <c r="M25" s="0" t="str">
        <f aca="false">IF($C25="","",$C25&amp;"|"&amp;$L25)</f>
        <v/>
      </c>
    </row>
    <row r="26" customFormat="false" ht="19.5" hidden="false" customHeight="true" outlineLevel="0" collapsed="false">
      <c r="A26" s="8" t="str">
        <f aca="false">IF($C26="","",ROW()-7)</f>
        <v/>
      </c>
      <c r="B26" s="9"/>
      <c r="C26" s="9"/>
      <c r="D26" s="10"/>
      <c r="E26" s="11"/>
      <c r="F26" s="11"/>
      <c r="G26" s="10"/>
      <c r="H26" s="13"/>
      <c r="I26" s="14" t="str">
        <f aca="false">IF(OR($B26="",ISTEXT($B26)),IF($B26="Opening","Opening",""),TEXT($B26,"mmm yyyy"))</f>
        <v/>
      </c>
      <c r="J26" s="15" t="str">
        <f aca="false">IF(AND($E26="",$F26=""),"",SUM($E$8:$E26))</f>
        <v/>
      </c>
      <c r="L26" s="0" t="str">
        <f aca="false">IF($C26="","",COUNTIFS($C$8:$C26,$C26))</f>
        <v/>
      </c>
      <c r="M26" s="0" t="str">
        <f aca="false">IF($C26="","",$C26&amp;"|"&amp;$L26)</f>
        <v/>
      </c>
    </row>
    <row r="27" customFormat="false" ht="19.5" hidden="false" customHeight="true" outlineLevel="0" collapsed="false">
      <c r="A27" s="17" t="str">
        <f aca="false">IF($C27="","",ROW()-7)</f>
        <v/>
      </c>
      <c r="B27" s="19"/>
      <c r="C27" s="19"/>
      <c r="D27" s="20"/>
      <c r="E27" s="21"/>
      <c r="F27" s="21"/>
      <c r="G27" s="20"/>
      <c r="H27" s="23"/>
      <c r="I27" s="24" t="str">
        <f aca="false">IF(OR($B27="",ISTEXT($B27)),IF($B27="Opening","Opening",""),TEXT($B27,"mmm yyyy"))</f>
        <v/>
      </c>
      <c r="J27" s="25" t="str">
        <f aca="false">IF(AND($E27="",$F27=""),"",SUM($E$8:$E27))</f>
        <v/>
      </c>
      <c r="L27" s="0" t="str">
        <f aca="false">IF($C27="","",COUNTIFS($C$8:$C27,$C27))</f>
        <v/>
      </c>
      <c r="M27" s="0" t="str">
        <f aca="false">IF($C27="","",$C27&amp;"|"&amp;$L27)</f>
        <v/>
      </c>
    </row>
    <row r="28" customFormat="false" ht="19.5" hidden="false" customHeight="true" outlineLevel="0" collapsed="false">
      <c r="A28" s="8" t="str">
        <f aca="false">IF($C28="","",ROW()-7)</f>
        <v/>
      </c>
      <c r="B28" s="9"/>
      <c r="C28" s="9"/>
      <c r="D28" s="10"/>
      <c r="E28" s="11"/>
      <c r="F28" s="11"/>
      <c r="G28" s="10"/>
      <c r="H28" s="13"/>
      <c r="I28" s="14" t="str">
        <f aca="false">IF(OR($B28="",ISTEXT($B28)),IF($B28="Opening","Opening",""),TEXT($B28,"mmm yyyy"))</f>
        <v/>
      </c>
      <c r="J28" s="15" t="str">
        <f aca="false">IF(AND($E28="",$F28=""),"",SUM($E$8:$E28))</f>
        <v/>
      </c>
      <c r="L28" s="0" t="str">
        <f aca="false">IF($C28="","",COUNTIFS($C$8:$C28,$C28))</f>
        <v/>
      </c>
      <c r="M28" s="0" t="str">
        <f aca="false">IF($C28="","",$C28&amp;"|"&amp;$L28)</f>
        <v/>
      </c>
    </row>
    <row r="29" customFormat="false" ht="19.5" hidden="false" customHeight="true" outlineLevel="0" collapsed="false">
      <c r="A29" s="17" t="str">
        <f aca="false">IF($C29="","",ROW()-7)</f>
        <v/>
      </c>
      <c r="B29" s="19"/>
      <c r="C29" s="19"/>
      <c r="D29" s="20"/>
      <c r="E29" s="21"/>
      <c r="F29" s="21"/>
      <c r="G29" s="20"/>
      <c r="H29" s="23"/>
      <c r="I29" s="24" t="str">
        <f aca="false">IF(OR($B29="",ISTEXT($B29)),IF($B29="Opening","Opening",""),TEXT($B29,"mmm yyyy"))</f>
        <v/>
      </c>
      <c r="J29" s="25" t="str">
        <f aca="false">IF(AND($E29="",$F29=""),"",SUM($E$8:$E29))</f>
        <v/>
      </c>
      <c r="L29" s="0" t="str">
        <f aca="false">IF($C29="","",COUNTIFS($C$8:$C29,$C29))</f>
        <v/>
      </c>
      <c r="M29" s="0" t="str">
        <f aca="false">IF($C29="","",$C29&amp;"|"&amp;$L29)</f>
        <v/>
      </c>
    </row>
    <row r="30" customFormat="false" ht="19.5" hidden="false" customHeight="true" outlineLevel="0" collapsed="false">
      <c r="A30" s="8" t="str">
        <f aca="false">IF($C30="","",ROW()-7)</f>
        <v/>
      </c>
      <c r="B30" s="9"/>
      <c r="C30" s="9"/>
      <c r="D30" s="10"/>
      <c r="E30" s="11"/>
      <c r="F30" s="11"/>
      <c r="G30" s="10"/>
      <c r="H30" s="13"/>
      <c r="I30" s="14" t="str">
        <f aca="false">IF(OR($B30="",ISTEXT($B30)),IF($B30="Opening","Opening",""),TEXT($B30,"mmm yyyy"))</f>
        <v/>
      </c>
      <c r="J30" s="15" t="str">
        <f aca="false">IF(AND($E30="",$F30=""),"",SUM($E$8:$E30))</f>
        <v/>
      </c>
      <c r="L30" s="0" t="str">
        <f aca="false">IF($C30="","",COUNTIFS($C$8:$C30,$C30))</f>
        <v/>
      </c>
      <c r="M30" s="0" t="str">
        <f aca="false">IF($C30="","",$C30&amp;"|"&amp;$L30)</f>
        <v/>
      </c>
    </row>
    <row r="31" customFormat="false" ht="19.5" hidden="false" customHeight="true" outlineLevel="0" collapsed="false">
      <c r="A31" s="17" t="str">
        <f aca="false">IF($C31="","",ROW()-7)</f>
        <v/>
      </c>
      <c r="B31" s="19"/>
      <c r="C31" s="19"/>
      <c r="D31" s="20"/>
      <c r="E31" s="21"/>
      <c r="F31" s="21"/>
      <c r="G31" s="20"/>
      <c r="H31" s="23"/>
      <c r="I31" s="24" t="str">
        <f aca="false">IF(OR($B31="",ISTEXT($B31)),IF($B31="Opening","Opening",""),TEXT($B31,"mmm yyyy"))</f>
        <v/>
      </c>
      <c r="J31" s="25" t="str">
        <f aca="false">IF(AND($E31="",$F31=""),"",SUM($E$8:$E31))</f>
        <v/>
      </c>
      <c r="L31" s="0" t="str">
        <f aca="false">IF($C31="","",COUNTIFS($C$8:$C31,$C31))</f>
        <v/>
      </c>
      <c r="M31" s="0" t="str">
        <f aca="false">IF($C31="","",$C31&amp;"|"&amp;$L31)</f>
        <v/>
      </c>
    </row>
    <row r="32" customFormat="false" ht="19.5" hidden="false" customHeight="true" outlineLevel="0" collapsed="false">
      <c r="A32" s="8" t="str">
        <f aca="false">IF($C32="","",ROW()-7)</f>
        <v/>
      </c>
      <c r="B32" s="9"/>
      <c r="C32" s="9"/>
      <c r="D32" s="10"/>
      <c r="E32" s="11"/>
      <c r="F32" s="11"/>
      <c r="G32" s="10"/>
      <c r="H32" s="13"/>
      <c r="I32" s="14" t="str">
        <f aca="false">IF(OR($B32="",ISTEXT($B32)),IF($B32="Opening","Opening",""),TEXT($B32,"mmm yyyy"))</f>
        <v/>
      </c>
      <c r="J32" s="15" t="str">
        <f aca="false">IF(AND($E32="",$F32=""),"",SUM($E$8:$E32))</f>
        <v/>
      </c>
      <c r="L32" s="0" t="str">
        <f aca="false">IF($C32="","",COUNTIFS($C$8:$C32,$C32))</f>
        <v/>
      </c>
      <c r="M32" s="0" t="str">
        <f aca="false">IF($C32="","",$C32&amp;"|"&amp;$L32)</f>
        <v/>
      </c>
    </row>
    <row r="33" customFormat="false" ht="19.5" hidden="false" customHeight="true" outlineLevel="0" collapsed="false">
      <c r="A33" s="17" t="str">
        <f aca="false">IF($C33="","",ROW()-7)</f>
        <v/>
      </c>
      <c r="B33" s="19"/>
      <c r="C33" s="19"/>
      <c r="D33" s="20"/>
      <c r="E33" s="21"/>
      <c r="F33" s="21"/>
      <c r="G33" s="20"/>
      <c r="H33" s="23"/>
      <c r="I33" s="24" t="str">
        <f aca="false">IF(OR($B33="",ISTEXT($B33)),IF($B33="Opening","Opening",""),TEXT($B33,"mmm yyyy"))</f>
        <v/>
      </c>
      <c r="J33" s="25" t="str">
        <f aca="false">IF(AND($E33="",$F33=""),"",SUM($E$8:$E33))</f>
        <v/>
      </c>
      <c r="L33" s="0" t="str">
        <f aca="false">IF($C33="","",COUNTIFS($C$8:$C33,$C33))</f>
        <v/>
      </c>
      <c r="M33" s="0" t="str">
        <f aca="false">IF($C33="","",$C33&amp;"|"&amp;$L33)</f>
        <v/>
      </c>
    </row>
    <row r="34" customFormat="false" ht="19.5" hidden="false" customHeight="true" outlineLevel="0" collapsed="false">
      <c r="A34" s="8" t="str">
        <f aca="false">IF($C34="","",ROW()-7)</f>
        <v/>
      </c>
      <c r="B34" s="9"/>
      <c r="C34" s="9"/>
      <c r="D34" s="10"/>
      <c r="E34" s="11"/>
      <c r="F34" s="11"/>
      <c r="G34" s="10"/>
      <c r="H34" s="13"/>
      <c r="I34" s="14" t="str">
        <f aca="false">IF(OR($B34="",ISTEXT($B34)),IF($B34="Opening","Opening",""),TEXT($B34,"mmm yyyy"))</f>
        <v/>
      </c>
      <c r="J34" s="15" t="str">
        <f aca="false">IF(AND($E34="",$F34=""),"",SUM($E$8:$E34))</f>
        <v/>
      </c>
      <c r="L34" s="0" t="str">
        <f aca="false">IF($C34="","",COUNTIFS($C$8:$C34,$C34))</f>
        <v/>
      </c>
      <c r="M34" s="0" t="str">
        <f aca="false">IF($C34="","",$C34&amp;"|"&amp;$L34)</f>
        <v/>
      </c>
    </row>
    <row r="35" customFormat="false" ht="19.5" hidden="false" customHeight="true" outlineLevel="0" collapsed="false">
      <c r="A35" s="17" t="str">
        <f aca="false">IF($C35="","",ROW()-7)</f>
        <v/>
      </c>
      <c r="B35" s="19"/>
      <c r="C35" s="19"/>
      <c r="D35" s="20"/>
      <c r="E35" s="21"/>
      <c r="F35" s="21"/>
      <c r="G35" s="20"/>
      <c r="H35" s="23"/>
      <c r="I35" s="24" t="str">
        <f aca="false">IF(OR($B35="",ISTEXT($B35)),IF($B35="Opening","Opening",""),TEXT($B35,"mmm yyyy"))</f>
        <v/>
      </c>
      <c r="J35" s="25" t="str">
        <f aca="false">IF(AND($E35="",$F35=""),"",SUM($E$8:$E35))</f>
        <v/>
      </c>
      <c r="L35" s="0" t="str">
        <f aca="false">IF($C35="","",COUNTIFS($C$8:$C35,$C35))</f>
        <v/>
      </c>
      <c r="M35" s="0" t="str">
        <f aca="false">IF($C35="","",$C35&amp;"|"&amp;$L35)</f>
        <v/>
      </c>
    </row>
    <row r="36" customFormat="false" ht="19.5" hidden="false" customHeight="true" outlineLevel="0" collapsed="false">
      <c r="A36" s="8" t="str">
        <f aca="false">IF($C36="","",ROW()-7)</f>
        <v/>
      </c>
      <c r="B36" s="9"/>
      <c r="C36" s="9"/>
      <c r="D36" s="10"/>
      <c r="E36" s="11"/>
      <c r="F36" s="11"/>
      <c r="G36" s="10"/>
      <c r="H36" s="13"/>
      <c r="I36" s="14" t="str">
        <f aca="false">IF(OR($B36="",ISTEXT($B36)),IF($B36="Opening","Opening",""),TEXT($B36,"mmm yyyy"))</f>
        <v/>
      </c>
      <c r="J36" s="15" t="str">
        <f aca="false">IF(AND($E36="",$F36=""),"",SUM($E$8:$E36))</f>
        <v/>
      </c>
      <c r="L36" s="0" t="str">
        <f aca="false">IF($C36="","",COUNTIFS($C$8:$C36,$C36))</f>
        <v/>
      </c>
      <c r="M36" s="0" t="str">
        <f aca="false">IF($C36="","",$C36&amp;"|"&amp;$L36)</f>
        <v/>
      </c>
    </row>
    <row r="37" customFormat="false" ht="19.5" hidden="false" customHeight="true" outlineLevel="0" collapsed="false">
      <c r="A37" s="17" t="str">
        <f aca="false">IF($C37="","",ROW()-7)</f>
        <v/>
      </c>
      <c r="B37" s="19"/>
      <c r="C37" s="19"/>
      <c r="D37" s="20"/>
      <c r="E37" s="21"/>
      <c r="F37" s="21"/>
      <c r="G37" s="20"/>
      <c r="H37" s="23"/>
      <c r="I37" s="24" t="str">
        <f aca="false">IF(OR($B37="",ISTEXT($B37)),IF($B37="Opening","Opening",""),TEXT($B37,"mmm yyyy"))</f>
        <v/>
      </c>
      <c r="J37" s="25" t="str">
        <f aca="false">IF(AND($E37="",$F37=""),"",SUM($E$8:$E37))</f>
        <v/>
      </c>
      <c r="L37" s="0" t="str">
        <f aca="false">IF($C37="","",COUNTIFS($C$8:$C37,$C37))</f>
        <v/>
      </c>
      <c r="M37" s="0" t="str">
        <f aca="false">IF($C37="","",$C37&amp;"|"&amp;$L37)</f>
        <v/>
      </c>
    </row>
    <row r="38" customFormat="false" ht="19.5" hidden="false" customHeight="true" outlineLevel="0" collapsed="false">
      <c r="A38" s="8" t="str">
        <f aca="false">IF($C38="","",ROW()-7)</f>
        <v/>
      </c>
      <c r="B38" s="9"/>
      <c r="C38" s="9"/>
      <c r="D38" s="10"/>
      <c r="E38" s="11"/>
      <c r="F38" s="11"/>
      <c r="G38" s="10"/>
      <c r="H38" s="13"/>
      <c r="I38" s="14" t="str">
        <f aca="false">IF(OR($B38="",ISTEXT($B38)),IF($B38="Opening","Opening",""),TEXT($B38,"mmm yyyy"))</f>
        <v/>
      </c>
      <c r="J38" s="15" t="str">
        <f aca="false">IF(AND($E38="",$F38=""),"",SUM($E$8:$E38))</f>
        <v/>
      </c>
      <c r="L38" s="0" t="str">
        <f aca="false">IF($C38="","",COUNTIFS($C$8:$C38,$C38))</f>
        <v/>
      </c>
      <c r="M38" s="0" t="str">
        <f aca="false">IF($C38="","",$C38&amp;"|"&amp;$L38)</f>
        <v/>
      </c>
    </row>
    <row r="39" customFormat="false" ht="19.5" hidden="false" customHeight="true" outlineLevel="0" collapsed="false">
      <c r="A39" s="17" t="str">
        <f aca="false">IF($C39="","",ROW()-7)</f>
        <v/>
      </c>
      <c r="B39" s="19"/>
      <c r="C39" s="19"/>
      <c r="D39" s="20"/>
      <c r="E39" s="21"/>
      <c r="F39" s="21"/>
      <c r="G39" s="20"/>
      <c r="H39" s="23"/>
      <c r="I39" s="24" t="str">
        <f aca="false">IF(OR($B39="",ISTEXT($B39)),IF($B39="Opening","Opening",""),TEXT($B39,"mmm yyyy"))</f>
        <v/>
      </c>
      <c r="J39" s="25" t="str">
        <f aca="false">IF(AND($E39="",$F39=""),"",SUM($E$8:$E39))</f>
        <v/>
      </c>
      <c r="L39" s="0" t="str">
        <f aca="false">IF($C39="","",COUNTIFS($C$8:$C39,$C39))</f>
        <v/>
      </c>
      <c r="M39" s="0" t="str">
        <f aca="false">IF($C39="","",$C39&amp;"|"&amp;$L39)</f>
        <v/>
      </c>
    </row>
    <row r="40" customFormat="false" ht="19.5" hidden="false" customHeight="true" outlineLevel="0" collapsed="false">
      <c r="A40" s="8" t="str">
        <f aca="false">IF($C40="","",ROW()-7)</f>
        <v/>
      </c>
      <c r="B40" s="9"/>
      <c r="C40" s="9"/>
      <c r="D40" s="10"/>
      <c r="E40" s="11"/>
      <c r="F40" s="11"/>
      <c r="G40" s="10"/>
      <c r="H40" s="13"/>
      <c r="I40" s="14" t="str">
        <f aca="false">IF(OR($B40="",ISTEXT($B40)),IF($B40="Opening","Opening",""),TEXT($B40,"mmm yyyy"))</f>
        <v/>
      </c>
      <c r="J40" s="15" t="str">
        <f aca="false">IF(AND($E40="",$F40=""),"",SUM($E$8:$E40))</f>
        <v/>
      </c>
      <c r="L40" s="0" t="str">
        <f aca="false">IF($C40="","",COUNTIFS($C$8:$C40,$C40))</f>
        <v/>
      </c>
      <c r="M40" s="0" t="str">
        <f aca="false">IF($C40="","",$C40&amp;"|"&amp;$L40)</f>
        <v/>
      </c>
    </row>
    <row r="41" customFormat="false" ht="19.5" hidden="false" customHeight="true" outlineLevel="0" collapsed="false">
      <c r="A41" s="17" t="str">
        <f aca="false">IF($C41="","",ROW()-7)</f>
        <v/>
      </c>
      <c r="B41" s="19"/>
      <c r="C41" s="19"/>
      <c r="D41" s="20"/>
      <c r="E41" s="21"/>
      <c r="F41" s="21"/>
      <c r="G41" s="20"/>
      <c r="H41" s="23"/>
      <c r="I41" s="24" t="str">
        <f aca="false">IF(OR($B41="",ISTEXT($B41)),IF($B41="Opening","Opening",""),TEXT($B41,"mmm yyyy"))</f>
        <v/>
      </c>
      <c r="J41" s="25" t="str">
        <f aca="false">IF(AND($E41="",$F41=""),"",SUM($E$8:$E41))</f>
        <v/>
      </c>
      <c r="L41" s="0" t="str">
        <f aca="false">IF($C41="","",COUNTIFS($C$8:$C41,$C41))</f>
        <v/>
      </c>
      <c r="M41" s="0" t="str">
        <f aca="false">IF($C41="","",$C41&amp;"|"&amp;$L41)</f>
        <v/>
      </c>
    </row>
    <row r="42" customFormat="false" ht="19.5" hidden="false" customHeight="true" outlineLevel="0" collapsed="false">
      <c r="A42" s="8" t="str">
        <f aca="false">IF($C42="","",ROW()-7)</f>
        <v/>
      </c>
      <c r="B42" s="9"/>
      <c r="C42" s="9"/>
      <c r="D42" s="10"/>
      <c r="E42" s="11"/>
      <c r="F42" s="11"/>
      <c r="G42" s="10"/>
      <c r="H42" s="13"/>
      <c r="I42" s="14" t="str">
        <f aca="false">IF(OR($B42="",ISTEXT($B42)),IF($B42="Opening","Opening",""),TEXT($B42,"mmm yyyy"))</f>
        <v/>
      </c>
      <c r="J42" s="15" t="str">
        <f aca="false">IF(AND($E42="",$F42=""),"",SUM($E$8:$E42))</f>
        <v/>
      </c>
      <c r="L42" s="0" t="str">
        <f aca="false">IF($C42="","",COUNTIFS($C$8:$C42,$C42))</f>
        <v/>
      </c>
      <c r="M42" s="0" t="str">
        <f aca="false">IF($C42="","",$C42&amp;"|"&amp;$L42)</f>
        <v/>
      </c>
    </row>
    <row r="43" customFormat="false" ht="19.5" hidden="false" customHeight="true" outlineLevel="0" collapsed="false">
      <c r="A43" s="17" t="str">
        <f aca="false">IF($C43="","",ROW()-7)</f>
        <v/>
      </c>
      <c r="B43" s="19"/>
      <c r="C43" s="19"/>
      <c r="D43" s="20"/>
      <c r="E43" s="21"/>
      <c r="F43" s="21"/>
      <c r="G43" s="20"/>
      <c r="H43" s="23"/>
      <c r="I43" s="24" t="str">
        <f aca="false">IF(OR($B43="",ISTEXT($B43)),IF($B43="Opening","Opening",""),TEXT($B43,"mmm yyyy"))</f>
        <v/>
      </c>
      <c r="J43" s="25" t="str">
        <f aca="false">IF(AND($E43="",$F43=""),"",SUM($E$8:$E43))</f>
        <v/>
      </c>
      <c r="L43" s="0" t="str">
        <f aca="false">IF($C43="","",COUNTIFS($C$8:$C43,$C43))</f>
        <v/>
      </c>
      <c r="M43" s="0" t="str">
        <f aca="false">IF($C43="","",$C43&amp;"|"&amp;$L43)</f>
        <v/>
      </c>
    </row>
    <row r="44" customFormat="false" ht="19.5" hidden="false" customHeight="true" outlineLevel="0" collapsed="false">
      <c r="A44" s="8" t="str">
        <f aca="false">IF($C44="","",ROW()-7)</f>
        <v/>
      </c>
      <c r="B44" s="9"/>
      <c r="C44" s="9"/>
      <c r="D44" s="10"/>
      <c r="E44" s="11"/>
      <c r="F44" s="11"/>
      <c r="G44" s="10"/>
      <c r="H44" s="13"/>
      <c r="I44" s="14" t="str">
        <f aca="false">IF(OR($B44="",ISTEXT($B44)),IF($B44="Opening","Opening",""),TEXT($B44,"mmm yyyy"))</f>
        <v/>
      </c>
      <c r="J44" s="15" t="str">
        <f aca="false">IF(AND($E44="",$F44=""),"",SUM($E$8:$E44))</f>
        <v/>
      </c>
      <c r="L44" s="0" t="str">
        <f aca="false">IF($C44="","",COUNTIFS($C$8:$C44,$C44))</f>
        <v/>
      </c>
      <c r="M44" s="0" t="str">
        <f aca="false">IF($C44="","",$C44&amp;"|"&amp;$L44)</f>
        <v/>
      </c>
    </row>
    <row r="45" customFormat="false" ht="19.5" hidden="false" customHeight="true" outlineLevel="0" collapsed="false">
      <c r="A45" s="17" t="str">
        <f aca="false">IF($C45="","",ROW()-7)</f>
        <v/>
      </c>
      <c r="B45" s="19"/>
      <c r="C45" s="19"/>
      <c r="D45" s="20"/>
      <c r="E45" s="21"/>
      <c r="F45" s="21"/>
      <c r="G45" s="20"/>
      <c r="H45" s="23"/>
      <c r="I45" s="24" t="str">
        <f aca="false">IF(OR($B45="",ISTEXT($B45)),IF($B45="Opening","Opening",""),TEXT($B45,"mmm yyyy"))</f>
        <v/>
      </c>
      <c r="J45" s="25" t="str">
        <f aca="false">IF(AND($E45="",$F45=""),"",SUM($E$8:$E45))</f>
        <v/>
      </c>
      <c r="L45" s="0" t="str">
        <f aca="false">IF($C45="","",COUNTIFS($C$8:$C45,$C45))</f>
        <v/>
      </c>
      <c r="M45" s="0" t="str">
        <f aca="false">IF($C45="","",$C45&amp;"|"&amp;$L45)</f>
        <v/>
      </c>
    </row>
    <row r="46" customFormat="false" ht="19.5" hidden="false" customHeight="true" outlineLevel="0" collapsed="false">
      <c r="A46" s="8" t="str">
        <f aca="false">IF($C46="","",ROW()-7)</f>
        <v/>
      </c>
      <c r="B46" s="9"/>
      <c r="C46" s="9"/>
      <c r="D46" s="10"/>
      <c r="E46" s="11"/>
      <c r="F46" s="11"/>
      <c r="G46" s="10"/>
      <c r="H46" s="13"/>
      <c r="I46" s="14" t="str">
        <f aca="false">IF(OR($B46="",ISTEXT($B46)),IF($B46="Opening","Opening",""),TEXT($B46,"mmm yyyy"))</f>
        <v/>
      </c>
      <c r="J46" s="15" t="str">
        <f aca="false">IF(AND($E46="",$F46=""),"",SUM($E$8:$E46))</f>
        <v/>
      </c>
      <c r="L46" s="0" t="str">
        <f aca="false">IF($C46="","",COUNTIFS($C$8:$C46,$C46))</f>
        <v/>
      </c>
      <c r="M46" s="0" t="str">
        <f aca="false">IF($C46="","",$C46&amp;"|"&amp;$L46)</f>
        <v/>
      </c>
    </row>
    <row r="47" customFormat="false" ht="19.5" hidden="false" customHeight="true" outlineLevel="0" collapsed="false">
      <c r="A47" s="17" t="str">
        <f aca="false">IF($C47="","",ROW()-7)</f>
        <v/>
      </c>
      <c r="B47" s="19"/>
      <c r="C47" s="19"/>
      <c r="D47" s="20"/>
      <c r="E47" s="21"/>
      <c r="F47" s="21"/>
      <c r="G47" s="20"/>
      <c r="H47" s="23"/>
      <c r="I47" s="24" t="str">
        <f aca="false">IF(OR($B47="",ISTEXT($B47)),IF($B47="Opening","Opening",""),TEXT($B47,"mmm yyyy"))</f>
        <v/>
      </c>
      <c r="J47" s="25" t="str">
        <f aca="false">IF(AND($E47="",$F47=""),"",SUM($E$8:$E47))</f>
        <v/>
      </c>
      <c r="L47" s="0" t="str">
        <f aca="false">IF($C47="","",COUNTIFS($C$8:$C47,$C47))</f>
        <v/>
      </c>
      <c r="M47" s="0" t="str">
        <f aca="false">IF($C47="","",$C47&amp;"|"&amp;$L47)</f>
        <v/>
      </c>
    </row>
    <row r="48" customFormat="false" ht="19.5" hidden="false" customHeight="true" outlineLevel="0" collapsed="false">
      <c r="A48" s="8" t="str">
        <f aca="false">IF($C48="","",ROW()-7)</f>
        <v/>
      </c>
      <c r="B48" s="9"/>
      <c r="C48" s="9"/>
      <c r="D48" s="10"/>
      <c r="E48" s="11"/>
      <c r="F48" s="11"/>
      <c r="G48" s="10"/>
      <c r="H48" s="13"/>
      <c r="I48" s="14" t="str">
        <f aca="false">IF(OR($B48="",ISTEXT($B48)),IF($B48="Opening","Opening",""),TEXT($B48,"mmm yyyy"))</f>
        <v/>
      </c>
      <c r="J48" s="15" t="str">
        <f aca="false">IF(AND($E48="",$F48=""),"",SUM($E$8:$E48))</f>
        <v/>
      </c>
      <c r="L48" s="0" t="str">
        <f aca="false">IF($C48="","",COUNTIFS($C$8:$C48,$C48))</f>
        <v/>
      </c>
      <c r="M48" s="0" t="str">
        <f aca="false">IF($C48="","",$C48&amp;"|"&amp;$L48)</f>
        <v/>
      </c>
    </row>
    <row r="49" customFormat="false" ht="19.5" hidden="false" customHeight="true" outlineLevel="0" collapsed="false">
      <c r="A49" s="17" t="str">
        <f aca="false">IF($C49="","",ROW()-7)</f>
        <v/>
      </c>
      <c r="B49" s="19"/>
      <c r="C49" s="19"/>
      <c r="D49" s="20"/>
      <c r="E49" s="21"/>
      <c r="F49" s="21"/>
      <c r="G49" s="20"/>
      <c r="H49" s="23"/>
      <c r="I49" s="24" t="str">
        <f aca="false">IF(OR($B49="",ISTEXT($B49)),IF($B49="Opening","Opening",""),TEXT($B49,"mmm yyyy"))</f>
        <v/>
      </c>
      <c r="J49" s="25" t="str">
        <f aca="false">IF(AND($E49="",$F49=""),"",SUM($E$8:$E49))</f>
        <v/>
      </c>
      <c r="L49" s="0" t="str">
        <f aca="false">IF($C49="","",COUNTIFS($C$8:$C49,$C49))</f>
        <v/>
      </c>
      <c r="M49" s="0" t="str">
        <f aca="false">IF($C49="","",$C49&amp;"|"&amp;$L49)</f>
        <v/>
      </c>
    </row>
    <row r="50" customFormat="false" ht="19.5" hidden="false" customHeight="true" outlineLevel="0" collapsed="false">
      <c r="A50" s="8" t="str">
        <f aca="false">IF($C50="","",ROW()-7)</f>
        <v/>
      </c>
      <c r="B50" s="9"/>
      <c r="C50" s="9"/>
      <c r="D50" s="10"/>
      <c r="E50" s="11"/>
      <c r="F50" s="11"/>
      <c r="G50" s="10"/>
      <c r="H50" s="13"/>
      <c r="I50" s="14" t="str">
        <f aca="false">IF(OR($B50="",ISTEXT($B50)),IF($B50="Opening","Opening",""),TEXT($B50,"mmm yyyy"))</f>
        <v/>
      </c>
      <c r="J50" s="15" t="str">
        <f aca="false">IF(AND($E50="",$F50=""),"",SUM($E$8:$E50))</f>
        <v/>
      </c>
      <c r="L50" s="0" t="str">
        <f aca="false">IF($C50="","",COUNTIFS($C$8:$C50,$C50))</f>
        <v/>
      </c>
      <c r="M50" s="0" t="str">
        <f aca="false">IF($C50="","",$C50&amp;"|"&amp;$L50)</f>
        <v/>
      </c>
    </row>
    <row r="51" customFormat="false" ht="19.5" hidden="false" customHeight="true" outlineLevel="0" collapsed="false">
      <c r="A51" s="17" t="str">
        <f aca="false">IF($C51="","",ROW()-7)</f>
        <v/>
      </c>
      <c r="B51" s="19"/>
      <c r="C51" s="19"/>
      <c r="D51" s="20"/>
      <c r="E51" s="21"/>
      <c r="F51" s="21"/>
      <c r="G51" s="20"/>
      <c r="H51" s="23"/>
      <c r="I51" s="24" t="str">
        <f aca="false">IF(OR($B51="",ISTEXT($B51)),IF($B51="Opening","Opening",""),TEXT($B51,"mmm yyyy"))</f>
        <v/>
      </c>
      <c r="J51" s="25" t="str">
        <f aca="false">IF(AND($E51="",$F51=""),"",SUM($E$8:$E51))</f>
        <v/>
      </c>
      <c r="L51" s="0" t="str">
        <f aca="false">IF($C51="","",COUNTIFS($C$8:$C51,$C51))</f>
        <v/>
      </c>
      <c r="M51" s="0" t="str">
        <f aca="false">IF($C51="","",$C51&amp;"|"&amp;$L51)</f>
        <v/>
      </c>
    </row>
    <row r="52" customFormat="false" ht="19.5" hidden="false" customHeight="true" outlineLevel="0" collapsed="false">
      <c r="A52" s="8" t="str">
        <f aca="false">IF($C52="","",ROW()-7)</f>
        <v/>
      </c>
      <c r="B52" s="9"/>
      <c r="C52" s="9"/>
      <c r="D52" s="10"/>
      <c r="E52" s="11"/>
      <c r="F52" s="11"/>
      <c r="G52" s="10"/>
      <c r="H52" s="13"/>
      <c r="I52" s="14" t="str">
        <f aca="false">IF(OR($B52="",ISTEXT($B52)),IF($B52="Opening","Opening",""),TEXT($B52,"mmm yyyy"))</f>
        <v/>
      </c>
      <c r="J52" s="15" t="str">
        <f aca="false">IF(AND($E52="",$F52=""),"",SUM($E$8:$E52))</f>
        <v/>
      </c>
      <c r="L52" s="0" t="str">
        <f aca="false">IF($C52="","",COUNTIFS($C$8:$C52,$C52))</f>
        <v/>
      </c>
      <c r="M52" s="0" t="str">
        <f aca="false">IF($C52="","",$C52&amp;"|"&amp;$L52)</f>
        <v/>
      </c>
    </row>
    <row r="53" customFormat="false" ht="19.5" hidden="false" customHeight="true" outlineLevel="0" collapsed="false">
      <c r="A53" s="17" t="str">
        <f aca="false">IF($C53="","",ROW()-7)</f>
        <v/>
      </c>
      <c r="B53" s="19"/>
      <c r="C53" s="19"/>
      <c r="D53" s="20"/>
      <c r="E53" s="21"/>
      <c r="F53" s="21"/>
      <c r="G53" s="20"/>
      <c r="H53" s="23"/>
      <c r="I53" s="24" t="str">
        <f aca="false">IF(OR($B53="",ISTEXT($B53)),IF($B53="Opening","Opening",""),TEXT($B53,"mmm yyyy"))</f>
        <v/>
      </c>
      <c r="J53" s="25" t="str">
        <f aca="false">IF(AND($E53="",$F53=""),"",SUM($E$8:$E53))</f>
        <v/>
      </c>
      <c r="L53" s="0" t="str">
        <f aca="false">IF($C53="","",COUNTIFS($C$8:$C53,$C53))</f>
        <v/>
      </c>
      <c r="M53" s="0" t="str">
        <f aca="false">IF($C53="","",$C53&amp;"|"&amp;$L53)</f>
        <v/>
      </c>
    </row>
    <row r="54" customFormat="false" ht="19.5" hidden="false" customHeight="true" outlineLevel="0" collapsed="false">
      <c r="A54" s="8" t="str">
        <f aca="false">IF($C54="","",ROW()-7)</f>
        <v/>
      </c>
      <c r="B54" s="9"/>
      <c r="C54" s="9"/>
      <c r="D54" s="10"/>
      <c r="E54" s="11"/>
      <c r="F54" s="11"/>
      <c r="G54" s="10"/>
      <c r="H54" s="13"/>
      <c r="I54" s="14" t="str">
        <f aca="false">IF(OR($B54="",ISTEXT($B54)),IF($B54="Opening","Opening",""),TEXT($B54,"mmm yyyy"))</f>
        <v/>
      </c>
      <c r="J54" s="15" t="str">
        <f aca="false">IF(AND($E54="",$F54=""),"",SUM($E$8:$E54))</f>
        <v/>
      </c>
      <c r="L54" s="0" t="str">
        <f aca="false">IF($C54="","",COUNTIFS($C$8:$C54,$C54))</f>
        <v/>
      </c>
      <c r="M54" s="0" t="str">
        <f aca="false">IF($C54="","",$C54&amp;"|"&amp;$L54)</f>
        <v/>
      </c>
    </row>
    <row r="55" customFormat="false" ht="19.5" hidden="false" customHeight="true" outlineLevel="0" collapsed="false">
      <c r="A55" s="17" t="str">
        <f aca="false">IF($C55="","",ROW()-7)</f>
        <v/>
      </c>
      <c r="B55" s="19"/>
      <c r="C55" s="19"/>
      <c r="D55" s="20"/>
      <c r="E55" s="21"/>
      <c r="F55" s="21"/>
      <c r="G55" s="20"/>
      <c r="H55" s="23"/>
      <c r="I55" s="24" t="str">
        <f aca="false">IF(OR($B55="",ISTEXT($B55)),IF($B55="Opening","Opening",""),TEXT($B55,"mmm yyyy"))</f>
        <v/>
      </c>
      <c r="J55" s="25" t="str">
        <f aca="false">IF(AND($E55="",$F55=""),"",SUM($E$8:$E55))</f>
        <v/>
      </c>
      <c r="L55" s="0" t="str">
        <f aca="false">IF($C55="","",COUNTIFS($C$8:$C55,$C55))</f>
        <v/>
      </c>
      <c r="M55" s="0" t="str">
        <f aca="false">IF($C55="","",$C55&amp;"|"&amp;$L55)</f>
        <v/>
      </c>
    </row>
    <row r="56" customFormat="false" ht="19.5" hidden="false" customHeight="true" outlineLevel="0" collapsed="false">
      <c r="A56" s="8" t="str">
        <f aca="false">IF($C56="","",ROW()-7)</f>
        <v/>
      </c>
      <c r="B56" s="9"/>
      <c r="C56" s="9"/>
      <c r="D56" s="10"/>
      <c r="E56" s="11"/>
      <c r="F56" s="11"/>
      <c r="G56" s="10"/>
      <c r="H56" s="13"/>
      <c r="I56" s="14" t="str">
        <f aca="false">IF(OR($B56="",ISTEXT($B56)),IF($B56="Opening","Opening",""),TEXT($B56,"mmm yyyy"))</f>
        <v/>
      </c>
      <c r="J56" s="15" t="str">
        <f aca="false">IF(AND($E56="",$F56=""),"",SUM($E$8:$E56))</f>
        <v/>
      </c>
      <c r="L56" s="0" t="str">
        <f aca="false">IF($C56="","",COUNTIFS($C$8:$C56,$C56))</f>
        <v/>
      </c>
      <c r="M56" s="0" t="str">
        <f aca="false">IF($C56="","",$C56&amp;"|"&amp;$L56)</f>
        <v/>
      </c>
    </row>
    <row r="57" customFormat="false" ht="19.5" hidden="false" customHeight="true" outlineLevel="0" collapsed="false">
      <c r="A57" s="17" t="str">
        <f aca="false">IF($C57="","",ROW()-7)</f>
        <v/>
      </c>
      <c r="B57" s="19"/>
      <c r="C57" s="19"/>
      <c r="D57" s="20"/>
      <c r="E57" s="21"/>
      <c r="F57" s="21"/>
      <c r="G57" s="20"/>
      <c r="H57" s="23"/>
      <c r="I57" s="24" t="str">
        <f aca="false">IF(OR($B57="",ISTEXT($B57)),IF($B57="Opening","Opening",""),TEXT($B57,"mmm yyyy"))</f>
        <v/>
      </c>
      <c r="J57" s="25" t="str">
        <f aca="false">IF(AND($E57="",$F57=""),"",SUM($E$8:$E57))</f>
        <v/>
      </c>
      <c r="L57" s="0" t="str">
        <f aca="false">IF($C57="","",COUNTIFS($C$8:$C57,$C57))</f>
        <v/>
      </c>
      <c r="M57" s="0" t="str">
        <f aca="false">IF($C57="","",$C57&amp;"|"&amp;$L57)</f>
        <v/>
      </c>
    </row>
    <row r="58" customFormat="false" ht="19.5" hidden="false" customHeight="true" outlineLevel="0" collapsed="false">
      <c r="A58" s="8" t="str">
        <f aca="false">IF($C58="","",ROW()-7)</f>
        <v/>
      </c>
      <c r="B58" s="9"/>
      <c r="C58" s="9"/>
      <c r="D58" s="10"/>
      <c r="E58" s="11"/>
      <c r="F58" s="11"/>
      <c r="G58" s="10"/>
      <c r="H58" s="13"/>
      <c r="I58" s="14" t="str">
        <f aca="false">IF(OR($B58="",ISTEXT($B58)),IF($B58="Opening","Opening",""),TEXT($B58,"mmm yyyy"))</f>
        <v/>
      </c>
      <c r="J58" s="15" t="str">
        <f aca="false">IF(AND($E58="",$F58=""),"",SUM($E$8:$E58))</f>
        <v/>
      </c>
      <c r="L58" s="0" t="str">
        <f aca="false">IF($C58="","",COUNTIFS($C$8:$C58,$C58))</f>
        <v/>
      </c>
      <c r="M58" s="0" t="str">
        <f aca="false">IF($C58="","",$C58&amp;"|"&amp;$L58)</f>
        <v/>
      </c>
    </row>
    <row r="59" customFormat="false" ht="19.5" hidden="false" customHeight="true" outlineLevel="0" collapsed="false">
      <c r="A59" s="17" t="str">
        <f aca="false">IF($C59="","",ROW()-7)</f>
        <v/>
      </c>
      <c r="B59" s="19"/>
      <c r="C59" s="19"/>
      <c r="D59" s="20"/>
      <c r="E59" s="21"/>
      <c r="F59" s="21"/>
      <c r="G59" s="20"/>
      <c r="H59" s="23"/>
      <c r="I59" s="24" t="str">
        <f aca="false">IF(OR($B59="",ISTEXT($B59)),IF($B59="Opening","Opening",""),TEXT($B59,"mmm yyyy"))</f>
        <v/>
      </c>
      <c r="J59" s="25" t="str">
        <f aca="false">IF(AND($E59="",$F59=""),"",SUM($E$8:$E59))</f>
        <v/>
      </c>
      <c r="L59" s="0" t="str">
        <f aca="false">IF($C59="","",COUNTIFS($C$8:$C59,$C59))</f>
        <v/>
      </c>
      <c r="M59" s="0" t="str">
        <f aca="false">IF($C59="","",$C59&amp;"|"&amp;$L59)</f>
        <v/>
      </c>
    </row>
    <row r="60" customFormat="false" ht="19.5" hidden="false" customHeight="true" outlineLevel="0" collapsed="false">
      <c r="A60" s="8" t="str">
        <f aca="false">IF($C60="","",ROW()-7)</f>
        <v/>
      </c>
      <c r="B60" s="9"/>
      <c r="C60" s="9"/>
      <c r="D60" s="10"/>
      <c r="E60" s="11"/>
      <c r="F60" s="11"/>
      <c r="G60" s="10"/>
      <c r="H60" s="13"/>
      <c r="I60" s="14" t="str">
        <f aca="false">IF(OR($B60="",ISTEXT($B60)),IF($B60="Opening","Opening",""),TEXT($B60,"mmm yyyy"))</f>
        <v/>
      </c>
      <c r="J60" s="15" t="str">
        <f aca="false">IF(AND($E60="",$F60=""),"",SUM($E$8:$E60))</f>
        <v/>
      </c>
      <c r="L60" s="0" t="str">
        <f aca="false">IF($C60="","",COUNTIFS($C$8:$C60,$C60))</f>
        <v/>
      </c>
      <c r="M60" s="0" t="str">
        <f aca="false">IF($C60="","",$C60&amp;"|"&amp;$L60)</f>
        <v/>
      </c>
    </row>
    <row r="61" customFormat="false" ht="19.5" hidden="false" customHeight="true" outlineLevel="0" collapsed="false">
      <c r="A61" s="17" t="str">
        <f aca="false">IF($C61="","",ROW()-7)</f>
        <v/>
      </c>
      <c r="B61" s="19"/>
      <c r="C61" s="19"/>
      <c r="D61" s="20"/>
      <c r="E61" s="21"/>
      <c r="F61" s="21"/>
      <c r="G61" s="20"/>
      <c r="H61" s="23"/>
      <c r="I61" s="24" t="str">
        <f aca="false">IF(OR($B61="",ISTEXT($B61)),IF($B61="Opening","Opening",""),TEXT($B61,"mmm yyyy"))</f>
        <v/>
      </c>
      <c r="J61" s="25" t="str">
        <f aca="false">IF(AND($E61="",$F61=""),"",SUM($E$8:$E61))</f>
        <v/>
      </c>
      <c r="L61" s="0" t="str">
        <f aca="false">IF($C61="","",COUNTIFS($C$8:$C61,$C61))</f>
        <v/>
      </c>
      <c r="M61" s="0" t="str">
        <f aca="false">IF($C61="","",$C61&amp;"|"&amp;$L61)</f>
        <v/>
      </c>
    </row>
    <row r="62" customFormat="false" ht="19.5" hidden="false" customHeight="true" outlineLevel="0" collapsed="false">
      <c r="A62" s="8" t="str">
        <f aca="false">IF($C62="","",ROW()-7)</f>
        <v/>
      </c>
      <c r="B62" s="9"/>
      <c r="C62" s="9"/>
      <c r="D62" s="10"/>
      <c r="E62" s="11"/>
      <c r="F62" s="11"/>
      <c r="G62" s="10"/>
      <c r="H62" s="13"/>
      <c r="I62" s="14" t="str">
        <f aca="false">IF(OR($B62="",ISTEXT($B62)),IF($B62="Opening","Opening",""),TEXT($B62,"mmm yyyy"))</f>
        <v/>
      </c>
      <c r="J62" s="15" t="str">
        <f aca="false">IF(AND($E62="",$F62=""),"",SUM($E$8:$E62))</f>
        <v/>
      </c>
      <c r="L62" s="0" t="str">
        <f aca="false">IF($C62="","",COUNTIFS($C$8:$C62,$C62))</f>
        <v/>
      </c>
      <c r="M62" s="0" t="str">
        <f aca="false">IF($C62="","",$C62&amp;"|"&amp;$L62)</f>
        <v/>
      </c>
    </row>
    <row r="63" customFormat="false" ht="19.5" hidden="false" customHeight="true" outlineLevel="0" collapsed="false">
      <c r="A63" s="17" t="str">
        <f aca="false">IF($C63="","",ROW()-7)</f>
        <v/>
      </c>
      <c r="B63" s="19"/>
      <c r="C63" s="19"/>
      <c r="D63" s="20"/>
      <c r="E63" s="21"/>
      <c r="F63" s="21"/>
      <c r="G63" s="20"/>
      <c r="H63" s="23"/>
      <c r="I63" s="24" t="str">
        <f aca="false">IF(OR($B63="",ISTEXT($B63)),IF($B63="Opening","Opening",""),TEXT($B63,"mmm yyyy"))</f>
        <v/>
      </c>
      <c r="J63" s="25" t="str">
        <f aca="false">IF(AND($E63="",$F63=""),"",SUM($E$8:$E63))</f>
        <v/>
      </c>
      <c r="L63" s="0" t="str">
        <f aca="false">IF($C63="","",COUNTIFS($C$8:$C63,$C63))</f>
        <v/>
      </c>
      <c r="M63" s="0" t="str">
        <f aca="false">IF($C63="","",$C63&amp;"|"&amp;$L63)</f>
        <v/>
      </c>
    </row>
    <row r="64" customFormat="false" ht="19.5" hidden="false" customHeight="true" outlineLevel="0" collapsed="false">
      <c r="A64" s="8" t="str">
        <f aca="false">IF($C64="","",ROW()-7)</f>
        <v/>
      </c>
      <c r="B64" s="9"/>
      <c r="C64" s="9"/>
      <c r="D64" s="10"/>
      <c r="E64" s="11"/>
      <c r="F64" s="11"/>
      <c r="G64" s="10"/>
      <c r="H64" s="13"/>
      <c r="I64" s="14" t="str">
        <f aca="false">IF(OR($B64="",ISTEXT($B64)),IF($B64="Opening","Opening",""),TEXT($B64,"mmm yyyy"))</f>
        <v/>
      </c>
      <c r="J64" s="15" t="str">
        <f aca="false">IF(AND($E64="",$F64=""),"",SUM($E$8:$E64))</f>
        <v/>
      </c>
      <c r="L64" s="0" t="str">
        <f aca="false">IF($C64="","",COUNTIFS($C$8:$C64,$C64))</f>
        <v/>
      </c>
      <c r="M64" s="0" t="str">
        <f aca="false">IF($C64="","",$C64&amp;"|"&amp;$L64)</f>
        <v/>
      </c>
    </row>
    <row r="65" customFormat="false" ht="19.5" hidden="false" customHeight="true" outlineLevel="0" collapsed="false">
      <c r="A65" s="17" t="str">
        <f aca="false">IF($C65="","",ROW()-7)</f>
        <v/>
      </c>
      <c r="B65" s="19"/>
      <c r="C65" s="19"/>
      <c r="D65" s="20"/>
      <c r="E65" s="21"/>
      <c r="F65" s="21"/>
      <c r="G65" s="20"/>
      <c r="H65" s="23"/>
      <c r="I65" s="24" t="str">
        <f aca="false">IF(OR($B65="",ISTEXT($B65)),IF($B65="Opening","Opening",""),TEXT($B65,"mmm yyyy"))</f>
        <v/>
      </c>
      <c r="J65" s="25" t="str">
        <f aca="false">IF(AND($E65="",$F65=""),"",SUM($E$8:$E65))</f>
        <v/>
      </c>
      <c r="L65" s="0" t="str">
        <f aca="false">IF($C65="","",COUNTIFS($C$8:$C65,$C65))</f>
        <v/>
      </c>
      <c r="M65" s="0" t="str">
        <f aca="false">IF($C65="","",$C65&amp;"|"&amp;$L65)</f>
        <v/>
      </c>
    </row>
    <row r="66" customFormat="false" ht="19.5" hidden="false" customHeight="true" outlineLevel="0" collapsed="false">
      <c r="A66" s="8" t="str">
        <f aca="false">IF($C66="","",ROW()-7)</f>
        <v/>
      </c>
      <c r="B66" s="9"/>
      <c r="C66" s="9"/>
      <c r="D66" s="10"/>
      <c r="E66" s="11"/>
      <c r="F66" s="11"/>
      <c r="G66" s="10"/>
      <c r="H66" s="13"/>
      <c r="I66" s="14" t="str">
        <f aca="false">IF(OR($B66="",ISTEXT($B66)),IF($B66="Opening","Opening",""),TEXT($B66,"mmm yyyy"))</f>
        <v/>
      </c>
      <c r="J66" s="15" t="str">
        <f aca="false">IF(AND($E66="",$F66=""),"",SUM($E$8:$E66))</f>
        <v/>
      </c>
      <c r="L66" s="0" t="str">
        <f aca="false">IF($C66="","",COUNTIFS($C$8:$C66,$C66))</f>
        <v/>
      </c>
      <c r="M66" s="0" t="str">
        <f aca="false">IF($C66="","",$C66&amp;"|"&amp;$L66)</f>
        <v/>
      </c>
    </row>
    <row r="67" customFormat="false" ht="19.5" hidden="false" customHeight="true" outlineLevel="0" collapsed="false">
      <c r="A67" s="17" t="str">
        <f aca="false">IF($C67="","",ROW()-7)</f>
        <v/>
      </c>
      <c r="B67" s="19"/>
      <c r="C67" s="19"/>
      <c r="D67" s="20"/>
      <c r="E67" s="21"/>
      <c r="F67" s="21"/>
      <c r="G67" s="20"/>
      <c r="H67" s="23"/>
      <c r="I67" s="24" t="str">
        <f aca="false">IF(OR($B67="",ISTEXT($B67)),IF($B67="Opening","Opening",""),TEXT($B67,"mmm yyyy"))</f>
        <v/>
      </c>
      <c r="J67" s="25" t="str">
        <f aca="false">IF(AND($E67="",$F67=""),"",SUM($E$8:$E67))</f>
        <v/>
      </c>
      <c r="L67" s="0" t="str">
        <f aca="false">IF($C67="","",COUNTIFS($C$8:$C67,$C67))</f>
        <v/>
      </c>
      <c r="M67" s="0" t="str">
        <f aca="false">IF($C67="","",$C67&amp;"|"&amp;$L67)</f>
        <v/>
      </c>
    </row>
    <row r="68" customFormat="false" ht="19.5" hidden="false" customHeight="true" outlineLevel="0" collapsed="false">
      <c r="A68" s="8" t="str">
        <f aca="false">IF($C68="","",ROW()-7)</f>
        <v/>
      </c>
      <c r="B68" s="9"/>
      <c r="C68" s="9"/>
      <c r="D68" s="10"/>
      <c r="E68" s="11"/>
      <c r="F68" s="11"/>
      <c r="G68" s="10"/>
      <c r="H68" s="13"/>
      <c r="I68" s="14" t="str">
        <f aca="false">IF(OR($B68="",ISTEXT($B68)),IF($B68="Opening","Opening",""),TEXT($B68,"mmm yyyy"))</f>
        <v/>
      </c>
      <c r="J68" s="15" t="str">
        <f aca="false">IF(AND($E68="",$F68=""),"",SUM($E$8:$E68))</f>
        <v/>
      </c>
      <c r="L68" s="0" t="str">
        <f aca="false">IF($C68="","",COUNTIFS($C$8:$C68,$C68))</f>
        <v/>
      </c>
      <c r="M68" s="0" t="str">
        <f aca="false">IF($C68="","",$C68&amp;"|"&amp;$L68)</f>
        <v/>
      </c>
    </row>
    <row r="69" customFormat="false" ht="19.5" hidden="false" customHeight="true" outlineLevel="0" collapsed="false">
      <c r="A69" s="17" t="str">
        <f aca="false">IF($C69="","",ROW()-7)</f>
        <v/>
      </c>
      <c r="B69" s="19"/>
      <c r="C69" s="19"/>
      <c r="D69" s="20"/>
      <c r="E69" s="21"/>
      <c r="F69" s="21"/>
      <c r="G69" s="20"/>
      <c r="H69" s="23"/>
      <c r="I69" s="24" t="str">
        <f aca="false">IF(OR($B69="",ISTEXT($B69)),IF($B69="Opening","Opening",""),TEXT($B69,"mmm yyyy"))</f>
        <v/>
      </c>
      <c r="J69" s="25" t="str">
        <f aca="false">IF(AND($E69="",$F69=""),"",SUM($E$8:$E69))</f>
        <v/>
      </c>
      <c r="L69" s="0" t="str">
        <f aca="false">IF($C69="","",COUNTIFS($C$8:$C69,$C69))</f>
        <v/>
      </c>
      <c r="M69" s="0" t="str">
        <f aca="false">IF($C69="","",$C69&amp;"|"&amp;$L69)</f>
        <v/>
      </c>
    </row>
    <row r="70" customFormat="false" ht="19.5" hidden="false" customHeight="true" outlineLevel="0" collapsed="false">
      <c r="A70" s="8" t="str">
        <f aca="false">IF($C70="","",ROW()-7)</f>
        <v/>
      </c>
      <c r="B70" s="9"/>
      <c r="C70" s="9"/>
      <c r="D70" s="10"/>
      <c r="E70" s="11"/>
      <c r="F70" s="11"/>
      <c r="G70" s="10"/>
      <c r="H70" s="13"/>
      <c r="I70" s="14" t="str">
        <f aca="false">IF(OR($B70="",ISTEXT($B70)),IF($B70="Opening","Opening",""),TEXT($B70,"mmm yyyy"))</f>
        <v/>
      </c>
      <c r="J70" s="15" t="str">
        <f aca="false">IF(AND($E70="",$F70=""),"",SUM($E$8:$E70))</f>
        <v/>
      </c>
      <c r="L70" s="0" t="str">
        <f aca="false">IF($C70="","",COUNTIFS($C$8:$C70,$C70))</f>
        <v/>
      </c>
      <c r="M70" s="0" t="str">
        <f aca="false">IF($C70="","",$C70&amp;"|"&amp;$L70)</f>
        <v/>
      </c>
    </row>
    <row r="71" customFormat="false" ht="19.5" hidden="false" customHeight="true" outlineLevel="0" collapsed="false">
      <c r="A71" s="17" t="str">
        <f aca="false">IF($C71="","",ROW()-7)</f>
        <v/>
      </c>
      <c r="B71" s="19"/>
      <c r="C71" s="19"/>
      <c r="D71" s="20"/>
      <c r="E71" s="21"/>
      <c r="F71" s="21"/>
      <c r="G71" s="20"/>
      <c r="H71" s="23"/>
      <c r="I71" s="24" t="str">
        <f aca="false">IF(OR($B71="",ISTEXT($B71)),IF($B71="Opening","Opening",""),TEXT($B71,"mmm yyyy"))</f>
        <v/>
      </c>
      <c r="J71" s="25" t="str">
        <f aca="false">IF(AND($E71="",$F71=""),"",SUM($E$8:$E71))</f>
        <v/>
      </c>
      <c r="L71" s="0" t="str">
        <f aca="false">IF($C71="","",COUNTIFS($C$8:$C71,$C71))</f>
        <v/>
      </c>
      <c r="M71" s="0" t="str">
        <f aca="false">IF($C71="","",$C71&amp;"|"&amp;$L71)</f>
        <v/>
      </c>
    </row>
    <row r="72" customFormat="false" ht="19.5" hidden="false" customHeight="true" outlineLevel="0" collapsed="false">
      <c r="A72" s="8" t="str">
        <f aca="false">IF($C72="","",ROW()-7)</f>
        <v/>
      </c>
      <c r="B72" s="9"/>
      <c r="C72" s="9"/>
      <c r="D72" s="10"/>
      <c r="E72" s="11"/>
      <c r="F72" s="11"/>
      <c r="G72" s="10"/>
      <c r="H72" s="13"/>
      <c r="I72" s="14" t="str">
        <f aca="false">IF(OR($B72="",ISTEXT($B72)),IF($B72="Opening","Opening",""),TEXT($B72,"mmm yyyy"))</f>
        <v/>
      </c>
      <c r="J72" s="15" t="str">
        <f aca="false">IF(AND($E72="",$F72=""),"",SUM($E$8:$E72))</f>
        <v/>
      </c>
      <c r="L72" s="0" t="str">
        <f aca="false">IF($C72="","",COUNTIFS($C$8:$C72,$C72))</f>
        <v/>
      </c>
      <c r="M72" s="0" t="str">
        <f aca="false">IF($C72="","",$C72&amp;"|"&amp;$L72)</f>
        <v/>
      </c>
    </row>
    <row r="73" customFormat="false" ht="19.5" hidden="false" customHeight="true" outlineLevel="0" collapsed="false">
      <c r="A73" s="17" t="str">
        <f aca="false">IF($C73="","",ROW()-7)</f>
        <v/>
      </c>
      <c r="B73" s="19"/>
      <c r="C73" s="19"/>
      <c r="D73" s="20"/>
      <c r="E73" s="21"/>
      <c r="F73" s="21"/>
      <c r="G73" s="20"/>
      <c r="H73" s="23"/>
      <c r="I73" s="24" t="str">
        <f aca="false">IF(OR($B73="",ISTEXT($B73)),IF($B73="Opening","Opening",""),TEXT($B73,"mmm yyyy"))</f>
        <v/>
      </c>
      <c r="J73" s="25" t="str">
        <f aca="false">IF(AND($E73="",$F73=""),"",SUM($E$8:$E73))</f>
        <v/>
      </c>
      <c r="L73" s="0" t="str">
        <f aca="false">IF($C73="","",COUNTIFS($C$8:$C73,$C73))</f>
        <v/>
      </c>
      <c r="M73" s="0" t="str">
        <f aca="false">IF($C73="","",$C73&amp;"|"&amp;$L73)</f>
        <v/>
      </c>
    </row>
    <row r="74" customFormat="false" ht="19.5" hidden="false" customHeight="true" outlineLevel="0" collapsed="false">
      <c r="A74" s="8" t="str">
        <f aca="false">IF($C74="","",ROW()-7)</f>
        <v/>
      </c>
      <c r="B74" s="9"/>
      <c r="C74" s="9"/>
      <c r="D74" s="10"/>
      <c r="E74" s="11"/>
      <c r="F74" s="11"/>
      <c r="G74" s="10"/>
      <c r="H74" s="13"/>
      <c r="I74" s="14" t="str">
        <f aca="false">IF(OR($B74="",ISTEXT($B74)),IF($B74="Opening","Opening",""),TEXT($B74,"mmm yyyy"))</f>
        <v/>
      </c>
      <c r="J74" s="15" t="str">
        <f aca="false">IF(AND($E74="",$F74=""),"",SUM($E$8:$E74))</f>
        <v/>
      </c>
      <c r="L74" s="0" t="str">
        <f aca="false">IF($C74="","",COUNTIFS($C$8:$C74,$C74))</f>
        <v/>
      </c>
      <c r="M74" s="0" t="str">
        <f aca="false">IF($C74="","",$C74&amp;"|"&amp;$L74)</f>
        <v/>
      </c>
    </row>
    <row r="75" customFormat="false" ht="19.5" hidden="false" customHeight="true" outlineLevel="0" collapsed="false">
      <c r="A75" s="17" t="str">
        <f aca="false">IF($C75="","",ROW()-7)</f>
        <v/>
      </c>
      <c r="B75" s="19"/>
      <c r="C75" s="19"/>
      <c r="D75" s="20"/>
      <c r="E75" s="21"/>
      <c r="F75" s="21"/>
      <c r="G75" s="20"/>
      <c r="H75" s="23"/>
      <c r="I75" s="24" t="str">
        <f aca="false">IF(OR($B75="",ISTEXT($B75)),IF($B75="Opening","Opening",""),TEXT($B75,"mmm yyyy"))</f>
        <v/>
      </c>
      <c r="J75" s="25" t="str">
        <f aca="false">IF(AND($E75="",$F75=""),"",SUM($E$8:$E75))</f>
        <v/>
      </c>
      <c r="L75" s="0" t="str">
        <f aca="false">IF($C75="","",COUNTIFS($C$8:$C75,$C75))</f>
        <v/>
      </c>
      <c r="M75" s="0" t="str">
        <f aca="false">IF($C75="","",$C75&amp;"|"&amp;$L75)</f>
        <v/>
      </c>
    </row>
    <row r="76" customFormat="false" ht="19.5" hidden="false" customHeight="true" outlineLevel="0" collapsed="false">
      <c r="A76" s="8" t="str">
        <f aca="false">IF($C76="","",ROW()-7)</f>
        <v/>
      </c>
      <c r="B76" s="9"/>
      <c r="C76" s="9"/>
      <c r="D76" s="10"/>
      <c r="E76" s="11"/>
      <c r="F76" s="11"/>
      <c r="G76" s="10"/>
      <c r="H76" s="13"/>
      <c r="I76" s="14" t="str">
        <f aca="false">IF(OR($B76="",ISTEXT($B76)),IF($B76="Opening","Opening",""),TEXT($B76,"mmm yyyy"))</f>
        <v/>
      </c>
      <c r="J76" s="15" t="str">
        <f aca="false">IF(AND($E76="",$F76=""),"",SUM($E$8:$E76))</f>
        <v/>
      </c>
      <c r="L76" s="0" t="str">
        <f aca="false">IF($C76="","",COUNTIFS($C$8:$C76,$C76))</f>
        <v/>
      </c>
      <c r="M76" s="0" t="str">
        <f aca="false">IF($C76="","",$C76&amp;"|"&amp;$L76)</f>
        <v/>
      </c>
    </row>
    <row r="77" customFormat="false" ht="19.5" hidden="false" customHeight="true" outlineLevel="0" collapsed="false">
      <c r="A77" s="17" t="str">
        <f aca="false">IF($C77="","",ROW()-7)</f>
        <v/>
      </c>
      <c r="B77" s="19"/>
      <c r="C77" s="19"/>
      <c r="D77" s="20"/>
      <c r="E77" s="21"/>
      <c r="F77" s="21"/>
      <c r="G77" s="20"/>
      <c r="H77" s="23"/>
      <c r="I77" s="24" t="str">
        <f aca="false">IF(OR($B77="",ISTEXT($B77)),IF($B77="Opening","Opening",""),TEXT($B77,"mmm yyyy"))</f>
        <v/>
      </c>
      <c r="J77" s="25" t="str">
        <f aca="false">IF(AND($E77="",$F77=""),"",SUM($E$8:$E77))</f>
        <v/>
      </c>
      <c r="L77" s="0" t="str">
        <f aca="false">IF($C77="","",COUNTIFS($C$8:$C77,$C77))</f>
        <v/>
      </c>
      <c r="M77" s="0" t="str">
        <f aca="false">IF($C77="","",$C77&amp;"|"&amp;$L77)</f>
        <v/>
      </c>
    </row>
    <row r="78" customFormat="false" ht="19.5" hidden="false" customHeight="true" outlineLevel="0" collapsed="false">
      <c r="A78" s="8" t="str">
        <f aca="false">IF($C78="","",ROW()-7)</f>
        <v/>
      </c>
      <c r="B78" s="9"/>
      <c r="C78" s="9"/>
      <c r="D78" s="10"/>
      <c r="E78" s="11"/>
      <c r="F78" s="11"/>
      <c r="G78" s="10"/>
      <c r="H78" s="13"/>
      <c r="I78" s="14" t="str">
        <f aca="false">IF(OR($B78="",ISTEXT($B78)),IF($B78="Opening","Opening",""),TEXT($B78,"mmm yyyy"))</f>
        <v/>
      </c>
      <c r="J78" s="15" t="str">
        <f aca="false">IF(AND($E78="",$F78=""),"",SUM($E$8:$E78))</f>
        <v/>
      </c>
      <c r="L78" s="0" t="str">
        <f aca="false">IF($C78="","",COUNTIFS($C$8:$C78,$C78))</f>
        <v/>
      </c>
      <c r="M78" s="0" t="str">
        <f aca="false">IF($C78="","",$C78&amp;"|"&amp;$L78)</f>
        <v/>
      </c>
    </row>
    <row r="79" customFormat="false" ht="19.5" hidden="false" customHeight="true" outlineLevel="0" collapsed="false">
      <c r="A79" s="17" t="str">
        <f aca="false">IF($C79="","",ROW()-7)</f>
        <v/>
      </c>
      <c r="B79" s="19"/>
      <c r="C79" s="19"/>
      <c r="D79" s="20"/>
      <c r="E79" s="21"/>
      <c r="F79" s="21"/>
      <c r="G79" s="20"/>
      <c r="H79" s="23"/>
      <c r="I79" s="24" t="str">
        <f aca="false">IF(OR($B79="",ISTEXT($B79)),IF($B79="Opening","Opening",""),TEXT($B79,"mmm yyyy"))</f>
        <v/>
      </c>
      <c r="J79" s="25" t="str">
        <f aca="false">IF(AND($E79="",$F79=""),"",SUM($E$8:$E79))</f>
        <v/>
      </c>
      <c r="L79" s="0" t="str">
        <f aca="false">IF($C79="","",COUNTIFS($C$8:$C79,$C79))</f>
        <v/>
      </c>
      <c r="M79" s="0" t="str">
        <f aca="false">IF($C79="","",$C79&amp;"|"&amp;$L79)</f>
        <v/>
      </c>
    </row>
    <row r="80" customFormat="false" ht="19.5" hidden="false" customHeight="true" outlineLevel="0" collapsed="false">
      <c r="A80" s="8" t="str">
        <f aca="false">IF($C80="","",ROW()-7)</f>
        <v/>
      </c>
      <c r="B80" s="9"/>
      <c r="C80" s="9"/>
      <c r="D80" s="10"/>
      <c r="E80" s="11"/>
      <c r="F80" s="11"/>
      <c r="G80" s="10"/>
      <c r="H80" s="13"/>
      <c r="I80" s="14" t="str">
        <f aca="false">IF(OR($B80="",ISTEXT($B80)),IF($B80="Opening","Opening",""),TEXT($B80,"mmm yyyy"))</f>
        <v/>
      </c>
      <c r="J80" s="15" t="str">
        <f aca="false">IF(AND($E80="",$F80=""),"",SUM($E$8:$E80))</f>
        <v/>
      </c>
      <c r="L80" s="0" t="str">
        <f aca="false">IF($C80="","",COUNTIFS($C$8:$C80,$C80))</f>
        <v/>
      </c>
      <c r="M80" s="0" t="str">
        <f aca="false">IF($C80="","",$C80&amp;"|"&amp;$L80)</f>
        <v/>
      </c>
    </row>
    <row r="81" customFormat="false" ht="19.5" hidden="false" customHeight="true" outlineLevel="0" collapsed="false">
      <c r="A81" s="17" t="str">
        <f aca="false">IF($C81="","",ROW()-7)</f>
        <v/>
      </c>
      <c r="B81" s="19"/>
      <c r="C81" s="19"/>
      <c r="D81" s="20"/>
      <c r="E81" s="21"/>
      <c r="F81" s="21"/>
      <c r="G81" s="20"/>
      <c r="H81" s="23"/>
      <c r="I81" s="24" t="str">
        <f aca="false">IF(OR($B81="",ISTEXT($B81)),IF($B81="Opening","Opening",""),TEXT($B81,"mmm yyyy"))</f>
        <v/>
      </c>
      <c r="J81" s="25" t="str">
        <f aca="false">IF(AND($E81="",$F81=""),"",SUM($E$8:$E81))</f>
        <v/>
      </c>
      <c r="L81" s="0" t="str">
        <f aca="false">IF($C81="","",COUNTIFS($C$8:$C81,$C81))</f>
        <v/>
      </c>
      <c r="M81" s="0" t="str">
        <f aca="false">IF($C81="","",$C81&amp;"|"&amp;$L81)</f>
        <v/>
      </c>
    </row>
    <row r="82" customFormat="false" ht="19.5" hidden="false" customHeight="true" outlineLevel="0" collapsed="false">
      <c r="A82" s="8" t="str">
        <f aca="false">IF($C82="","",ROW()-7)</f>
        <v/>
      </c>
      <c r="B82" s="9"/>
      <c r="C82" s="9"/>
      <c r="D82" s="10"/>
      <c r="E82" s="11"/>
      <c r="F82" s="11"/>
      <c r="G82" s="10"/>
      <c r="H82" s="13"/>
      <c r="I82" s="14" t="str">
        <f aca="false">IF(OR($B82="",ISTEXT($B82)),IF($B82="Opening","Opening",""),TEXT($B82,"mmm yyyy"))</f>
        <v/>
      </c>
      <c r="J82" s="15" t="str">
        <f aca="false">IF(AND($E82="",$F82=""),"",SUM($E$8:$E82))</f>
        <v/>
      </c>
      <c r="L82" s="0" t="str">
        <f aca="false">IF($C82="","",COUNTIFS($C$8:$C82,$C82))</f>
        <v/>
      </c>
      <c r="M82" s="0" t="str">
        <f aca="false">IF($C82="","",$C82&amp;"|"&amp;$L82)</f>
        <v/>
      </c>
    </row>
    <row r="83" customFormat="false" ht="19.5" hidden="false" customHeight="true" outlineLevel="0" collapsed="false">
      <c r="A83" s="17" t="str">
        <f aca="false">IF($C83="","",ROW()-7)</f>
        <v/>
      </c>
      <c r="B83" s="19"/>
      <c r="C83" s="19"/>
      <c r="D83" s="20"/>
      <c r="E83" s="21"/>
      <c r="F83" s="21"/>
      <c r="G83" s="20"/>
      <c r="H83" s="23"/>
      <c r="I83" s="24" t="str">
        <f aca="false">IF(OR($B83="",ISTEXT($B83)),IF($B83="Opening","Opening",""),TEXT($B83,"mmm yyyy"))</f>
        <v/>
      </c>
      <c r="J83" s="25" t="str">
        <f aca="false">IF(AND($E83="",$F83=""),"",SUM($E$8:$E83))</f>
        <v/>
      </c>
      <c r="L83" s="0" t="str">
        <f aca="false">IF($C83="","",COUNTIFS($C$8:$C83,$C83))</f>
        <v/>
      </c>
      <c r="M83" s="0" t="str">
        <f aca="false">IF($C83="","",$C83&amp;"|"&amp;$L83)</f>
        <v/>
      </c>
    </row>
    <row r="84" customFormat="false" ht="19.5" hidden="false" customHeight="true" outlineLevel="0" collapsed="false">
      <c r="A84" s="8" t="str">
        <f aca="false">IF($C84="","",ROW()-7)</f>
        <v/>
      </c>
      <c r="B84" s="9"/>
      <c r="C84" s="9"/>
      <c r="D84" s="10"/>
      <c r="E84" s="11"/>
      <c r="F84" s="11"/>
      <c r="G84" s="10"/>
      <c r="H84" s="13"/>
      <c r="I84" s="14" t="str">
        <f aca="false">IF(OR($B84="",ISTEXT($B84)),IF($B84="Opening","Opening",""),TEXT($B84,"mmm yyyy"))</f>
        <v/>
      </c>
      <c r="J84" s="15" t="str">
        <f aca="false">IF(AND($E84="",$F84=""),"",SUM($E$8:$E84))</f>
        <v/>
      </c>
      <c r="L84" s="0" t="str">
        <f aca="false">IF($C84="","",COUNTIFS($C$8:$C84,$C84))</f>
        <v/>
      </c>
      <c r="M84" s="0" t="str">
        <f aca="false">IF($C84="","",$C84&amp;"|"&amp;$L84)</f>
        <v/>
      </c>
    </row>
    <row r="85" customFormat="false" ht="19.5" hidden="false" customHeight="true" outlineLevel="0" collapsed="false">
      <c r="A85" s="17" t="str">
        <f aca="false">IF($C85="","",ROW()-7)</f>
        <v/>
      </c>
      <c r="B85" s="19"/>
      <c r="C85" s="19"/>
      <c r="D85" s="20"/>
      <c r="E85" s="21"/>
      <c r="F85" s="21"/>
      <c r="G85" s="20"/>
      <c r="H85" s="23"/>
      <c r="I85" s="24" t="str">
        <f aca="false">IF(OR($B85="",ISTEXT($B85)),IF($B85="Opening","Opening",""),TEXT($B85,"mmm yyyy"))</f>
        <v/>
      </c>
      <c r="J85" s="25" t="str">
        <f aca="false">IF(AND($E85="",$F85=""),"",SUM($E$8:$E85))</f>
        <v/>
      </c>
      <c r="L85" s="0" t="str">
        <f aca="false">IF($C85="","",COUNTIFS($C$8:$C85,$C85))</f>
        <v/>
      </c>
      <c r="M85" s="0" t="str">
        <f aca="false">IF($C85="","",$C85&amp;"|"&amp;$L85)</f>
        <v/>
      </c>
    </row>
    <row r="86" customFormat="false" ht="19.5" hidden="false" customHeight="true" outlineLevel="0" collapsed="false">
      <c r="A86" s="8" t="str">
        <f aca="false">IF($C86="","",ROW()-7)</f>
        <v/>
      </c>
      <c r="B86" s="9"/>
      <c r="C86" s="9"/>
      <c r="D86" s="10"/>
      <c r="E86" s="11"/>
      <c r="F86" s="11"/>
      <c r="G86" s="10"/>
      <c r="H86" s="13"/>
      <c r="I86" s="14" t="str">
        <f aca="false">IF(OR($B86="",ISTEXT($B86)),IF($B86="Opening","Opening",""),TEXT($B86,"mmm yyyy"))</f>
        <v/>
      </c>
      <c r="J86" s="15" t="str">
        <f aca="false">IF(AND($E86="",$F86=""),"",SUM($E$8:$E86))</f>
        <v/>
      </c>
      <c r="L86" s="0" t="str">
        <f aca="false">IF($C86="","",COUNTIFS($C$8:$C86,$C86))</f>
        <v/>
      </c>
      <c r="M86" s="0" t="str">
        <f aca="false">IF($C86="","",$C86&amp;"|"&amp;$L86)</f>
        <v/>
      </c>
    </row>
    <row r="87" customFormat="false" ht="19.5" hidden="false" customHeight="true" outlineLevel="0" collapsed="false">
      <c r="A87" s="17" t="str">
        <f aca="false">IF($C87="","",ROW()-7)</f>
        <v/>
      </c>
      <c r="B87" s="19"/>
      <c r="C87" s="19"/>
      <c r="D87" s="20"/>
      <c r="E87" s="21"/>
      <c r="F87" s="21"/>
      <c r="G87" s="20"/>
      <c r="H87" s="23"/>
      <c r="I87" s="24" t="str">
        <f aca="false">IF(OR($B87="",ISTEXT($B87)),IF($B87="Opening","Opening",""),TEXT($B87,"mmm yyyy"))</f>
        <v/>
      </c>
      <c r="J87" s="25" t="str">
        <f aca="false">IF(AND($E87="",$F87=""),"",SUM($E$8:$E87))</f>
        <v/>
      </c>
      <c r="L87" s="0" t="str">
        <f aca="false">IF($C87="","",COUNTIFS($C$8:$C87,$C87))</f>
        <v/>
      </c>
      <c r="M87" s="0" t="str">
        <f aca="false">IF($C87="","",$C87&amp;"|"&amp;$L87)</f>
        <v/>
      </c>
    </row>
    <row r="88" customFormat="false" ht="19.5" hidden="false" customHeight="true" outlineLevel="0" collapsed="false">
      <c r="A88" s="8" t="str">
        <f aca="false">IF($C88="","",ROW()-7)</f>
        <v/>
      </c>
      <c r="B88" s="9"/>
      <c r="C88" s="9"/>
      <c r="D88" s="10"/>
      <c r="E88" s="11"/>
      <c r="F88" s="11"/>
      <c r="G88" s="10"/>
      <c r="H88" s="13"/>
      <c r="I88" s="14" t="str">
        <f aca="false">IF(OR($B88="",ISTEXT($B88)),IF($B88="Opening","Opening",""),TEXT($B88,"mmm yyyy"))</f>
        <v/>
      </c>
      <c r="J88" s="15" t="str">
        <f aca="false">IF(AND($E88="",$F88=""),"",SUM($E$8:$E88))</f>
        <v/>
      </c>
      <c r="L88" s="0" t="str">
        <f aca="false">IF($C88="","",COUNTIFS($C$8:$C88,$C88))</f>
        <v/>
      </c>
      <c r="M88" s="0" t="str">
        <f aca="false">IF($C88="","",$C88&amp;"|"&amp;$L88)</f>
        <v/>
      </c>
    </row>
    <row r="89" customFormat="false" ht="19.5" hidden="false" customHeight="true" outlineLevel="0" collapsed="false">
      <c r="A89" s="17" t="str">
        <f aca="false">IF($C89="","",ROW()-7)</f>
        <v/>
      </c>
      <c r="B89" s="19"/>
      <c r="C89" s="19"/>
      <c r="D89" s="20"/>
      <c r="E89" s="21"/>
      <c r="F89" s="21"/>
      <c r="G89" s="20"/>
      <c r="H89" s="23"/>
      <c r="I89" s="24" t="str">
        <f aca="false">IF(OR($B89="",ISTEXT($B89)),IF($B89="Opening","Opening",""),TEXT($B89,"mmm yyyy"))</f>
        <v/>
      </c>
      <c r="J89" s="25" t="str">
        <f aca="false">IF(AND($E89="",$F89=""),"",SUM($E$8:$E89))</f>
        <v/>
      </c>
      <c r="L89" s="0" t="str">
        <f aca="false">IF($C89="","",COUNTIFS($C$8:$C89,$C89))</f>
        <v/>
      </c>
      <c r="M89" s="0" t="str">
        <f aca="false">IF($C89="","",$C89&amp;"|"&amp;$L89)</f>
        <v/>
      </c>
    </row>
    <row r="90" customFormat="false" ht="19.5" hidden="false" customHeight="true" outlineLevel="0" collapsed="false">
      <c r="A90" s="8" t="str">
        <f aca="false">IF($C90="","",ROW()-7)</f>
        <v/>
      </c>
      <c r="B90" s="9"/>
      <c r="C90" s="9"/>
      <c r="D90" s="10"/>
      <c r="E90" s="11"/>
      <c r="F90" s="11"/>
      <c r="G90" s="10"/>
      <c r="H90" s="13"/>
      <c r="I90" s="14" t="str">
        <f aca="false">IF(OR($B90="",ISTEXT($B90)),IF($B90="Opening","Opening",""),TEXT($B90,"mmm yyyy"))</f>
        <v/>
      </c>
      <c r="J90" s="15" t="str">
        <f aca="false">IF(AND($E90="",$F90=""),"",SUM($E$8:$E90))</f>
        <v/>
      </c>
      <c r="L90" s="0" t="str">
        <f aca="false">IF($C90="","",COUNTIFS($C$8:$C90,$C90))</f>
        <v/>
      </c>
      <c r="M90" s="0" t="str">
        <f aca="false">IF($C90="","",$C90&amp;"|"&amp;$L90)</f>
        <v/>
      </c>
    </row>
    <row r="91" customFormat="false" ht="19.5" hidden="false" customHeight="true" outlineLevel="0" collapsed="false">
      <c r="A91" s="17" t="str">
        <f aca="false">IF($C91="","",ROW()-7)</f>
        <v/>
      </c>
      <c r="B91" s="19"/>
      <c r="C91" s="19"/>
      <c r="D91" s="20"/>
      <c r="E91" s="21"/>
      <c r="F91" s="21"/>
      <c r="G91" s="20"/>
      <c r="H91" s="23"/>
      <c r="I91" s="24" t="str">
        <f aca="false">IF(OR($B91="",ISTEXT($B91)),IF($B91="Opening","Opening",""),TEXT($B91,"mmm yyyy"))</f>
        <v/>
      </c>
      <c r="J91" s="25" t="str">
        <f aca="false">IF(AND($E91="",$F91=""),"",SUM($E$8:$E91))</f>
        <v/>
      </c>
      <c r="L91" s="0" t="str">
        <f aca="false">IF($C91="","",COUNTIFS($C$8:$C91,$C91))</f>
        <v/>
      </c>
      <c r="M91" s="0" t="str">
        <f aca="false">IF($C91="","",$C91&amp;"|"&amp;$L91)</f>
        <v/>
      </c>
    </row>
    <row r="92" customFormat="false" ht="19.5" hidden="false" customHeight="true" outlineLevel="0" collapsed="false">
      <c r="A92" s="8" t="str">
        <f aca="false">IF($C92="","",ROW()-7)</f>
        <v/>
      </c>
      <c r="B92" s="9"/>
      <c r="C92" s="9"/>
      <c r="D92" s="10"/>
      <c r="E92" s="11"/>
      <c r="F92" s="11"/>
      <c r="G92" s="10"/>
      <c r="H92" s="13"/>
      <c r="I92" s="14" t="str">
        <f aca="false">IF(OR($B92="",ISTEXT($B92)),IF($B92="Opening","Opening",""),TEXT($B92,"mmm yyyy"))</f>
        <v/>
      </c>
      <c r="J92" s="15" t="str">
        <f aca="false">IF(AND($E92="",$F92=""),"",SUM($E$8:$E92))</f>
        <v/>
      </c>
      <c r="L92" s="0" t="str">
        <f aca="false">IF($C92="","",COUNTIFS($C$8:$C92,$C92))</f>
        <v/>
      </c>
      <c r="M92" s="0" t="str">
        <f aca="false">IF($C92="","",$C92&amp;"|"&amp;$L92)</f>
        <v/>
      </c>
    </row>
    <row r="93" customFormat="false" ht="19.5" hidden="false" customHeight="true" outlineLevel="0" collapsed="false">
      <c r="A93" s="17" t="str">
        <f aca="false">IF($C93="","",ROW()-7)</f>
        <v/>
      </c>
      <c r="B93" s="19"/>
      <c r="C93" s="19"/>
      <c r="D93" s="20"/>
      <c r="E93" s="21"/>
      <c r="F93" s="21"/>
      <c r="G93" s="20"/>
      <c r="H93" s="23"/>
      <c r="I93" s="24" t="str">
        <f aca="false">IF(OR($B93="",ISTEXT($B93)),IF($B93="Opening","Opening",""),TEXT($B93,"mmm yyyy"))</f>
        <v/>
      </c>
      <c r="J93" s="25" t="str">
        <f aca="false">IF(AND($E93="",$F93=""),"",SUM($E$8:$E93))</f>
        <v/>
      </c>
      <c r="L93" s="0" t="str">
        <f aca="false">IF($C93="","",COUNTIFS($C$8:$C93,$C93))</f>
        <v/>
      </c>
      <c r="M93" s="0" t="str">
        <f aca="false">IF($C93="","",$C93&amp;"|"&amp;$L93)</f>
        <v/>
      </c>
    </row>
    <row r="94" customFormat="false" ht="19.5" hidden="false" customHeight="true" outlineLevel="0" collapsed="false">
      <c r="A94" s="8" t="str">
        <f aca="false">IF($C94="","",ROW()-7)</f>
        <v/>
      </c>
      <c r="B94" s="9"/>
      <c r="C94" s="9"/>
      <c r="D94" s="10"/>
      <c r="E94" s="11"/>
      <c r="F94" s="11"/>
      <c r="G94" s="10"/>
      <c r="H94" s="13"/>
      <c r="I94" s="14" t="str">
        <f aca="false">IF(OR($B94="",ISTEXT($B94)),IF($B94="Opening","Opening",""),TEXT($B94,"mmm yyyy"))</f>
        <v/>
      </c>
      <c r="J94" s="15" t="str">
        <f aca="false">IF(AND($E94="",$F94=""),"",SUM($E$8:$E94))</f>
        <v/>
      </c>
      <c r="L94" s="0" t="str">
        <f aca="false">IF($C94="","",COUNTIFS($C$8:$C94,$C94))</f>
        <v/>
      </c>
      <c r="M94" s="0" t="str">
        <f aca="false">IF($C94="","",$C94&amp;"|"&amp;$L94)</f>
        <v/>
      </c>
    </row>
    <row r="95" customFormat="false" ht="19.5" hidden="false" customHeight="true" outlineLevel="0" collapsed="false">
      <c r="A95" s="17" t="str">
        <f aca="false">IF($C95="","",ROW()-7)</f>
        <v/>
      </c>
      <c r="B95" s="19"/>
      <c r="C95" s="19"/>
      <c r="D95" s="20"/>
      <c r="E95" s="21"/>
      <c r="F95" s="21"/>
      <c r="G95" s="20"/>
      <c r="H95" s="23"/>
      <c r="I95" s="24" t="str">
        <f aca="false">IF(OR($B95="",ISTEXT($B95)),IF($B95="Opening","Opening",""),TEXT($B95,"mmm yyyy"))</f>
        <v/>
      </c>
      <c r="J95" s="25" t="str">
        <f aca="false">IF(AND($E95="",$F95=""),"",SUM($E$8:$E95))</f>
        <v/>
      </c>
      <c r="L95" s="0" t="str">
        <f aca="false">IF($C95="","",COUNTIFS($C$8:$C95,$C95))</f>
        <v/>
      </c>
      <c r="M95" s="0" t="str">
        <f aca="false">IF($C95="","",$C95&amp;"|"&amp;$L95)</f>
        <v/>
      </c>
    </row>
    <row r="96" customFormat="false" ht="19.5" hidden="false" customHeight="true" outlineLevel="0" collapsed="false">
      <c r="A96" s="8" t="str">
        <f aca="false">IF($C96="","",ROW()-7)</f>
        <v/>
      </c>
      <c r="B96" s="9"/>
      <c r="C96" s="9"/>
      <c r="D96" s="10"/>
      <c r="E96" s="11"/>
      <c r="F96" s="11"/>
      <c r="G96" s="10"/>
      <c r="H96" s="13"/>
      <c r="I96" s="14" t="str">
        <f aca="false">IF(OR($B96="",ISTEXT($B96)),IF($B96="Opening","Opening",""),TEXT($B96,"mmm yyyy"))</f>
        <v/>
      </c>
      <c r="J96" s="15" t="str">
        <f aca="false">IF(AND($E96="",$F96=""),"",SUM($E$8:$E96))</f>
        <v/>
      </c>
      <c r="L96" s="0" t="str">
        <f aca="false">IF($C96="","",COUNTIFS($C$8:$C96,$C96))</f>
        <v/>
      </c>
      <c r="M96" s="0" t="str">
        <f aca="false">IF($C96="","",$C96&amp;"|"&amp;$L96)</f>
        <v/>
      </c>
    </row>
    <row r="97" customFormat="false" ht="19.5" hidden="false" customHeight="true" outlineLevel="0" collapsed="false">
      <c r="A97" s="17" t="str">
        <f aca="false">IF($C97="","",ROW()-7)</f>
        <v/>
      </c>
      <c r="B97" s="19"/>
      <c r="C97" s="19"/>
      <c r="D97" s="20"/>
      <c r="E97" s="21"/>
      <c r="F97" s="21"/>
      <c r="G97" s="20"/>
      <c r="H97" s="23"/>
      <c r="I97" s="24" t="str">
        <f aca="false">IF(OR($B97="",ISTEXT($B97)),IF($B97="Opening","Opening",""),TEXT($B97,"mmm yyyy"))</f>
        <v/>
      </c>
      <c r="J97" s="25" t="str">
        <f aca="false">IF(AND($E97="",$F97=""),"",SUM($E$8:$E97))</f>
        <v/>
      </c>
      <c r="L97" s="0" t="str">
        <f aca="false">IF($C97="","",COUNTIFS($C$8:$C97,$C97))</f>
        <v/>
      </c>
      <c r="M97" s="0" t="str">
        <f aca="false">IF($C97="","",$C97&amp;"|"&amp;$L97)</f>
        <v/>
      </c>
    </row>
    <row r="98" customFormat="false" ht="19.5" hidden="false" customHeight="true" outlineLevel="0" collapsed="false">
      <c r="A98" s="8" t="str">
        <f aca="false">IF($C98="","",ROW()-7)</f>
        <v/>
      </c>
      <c r="B98" s="9"/>
      <c r="C98" s="9"/>
      <c r="D98" s="10"/>
      <c r="E98" s="11"/>
      <c r="F98" s="11"/>
      <c r="G98" s="10"/>
      <c r="H98" s="13"/>
      <c r="I98" s="14" t="str">
        <f aca="false">IF(OR($B98="",ISTEXT($B98)),IF($B98="Opening","Opening",""),TEXT($B98,"mmm yyyy"))</f>
        <v/>
      </c>
      <c r="J98" s="15" t="str">
        <f aca="false">IF(AND($E98="",$F98=""),"",SUM($E$8:$E98))</f>
        <v/>
      </c>
      <c r="L98" s="0" t="str">
        <f aca="false">IF($C98="","",COUNTIFS($C$8:$C98,$C98))</f>
        <v/>
      </c>
      <c r="M98" s="0" t="str">
        <f aca="false">IF($C98="","",$C98&amp;"|"&amp;$L98)</f>
        <v/>
      </c>
    </row>
    <row r="99" customFormat="false" ht="19.5" hidden="false" customHeight="true" outlineLevel="0" collapsed="false">
      <c r="A99" s="17" t="str">
        <f aca="false">IF($C99="","",ROW()-7)</f>
        <v/>
      </c>
      <c r="B99" s="19"/>
      <c r="C99" s="19"/>
      <c r="D99" s="20"/>
      <c r="E99" s="21"/>
      <c r="F99" s="21"/>
      <c r="G99" s="20"/>
      <c r="H99" s="23"/>
      <c r="I99" s="24" t="str">
        <f aca="false">IF(OR($B99="",ISTEXT($B99)),IF($B99="Opening","Opening",""),TEXT($B99,"mmm yyyy"))</f>
        <v/>
      </c>
      <c r="J99" s="25" t="str">
        <f aca="false">IF(AND($E99="",$F99=""),"",SUM($E$8:$E99))</f>
        <v/>
      </c>
      <c r="L99" s="0" t="str">
        <f aca="false">IF($C99="","",COUNTIFS($C$8:$C99,$C99))</f>
        <v/>
      </c>
      <c r="M99" s="0" t="str">
        <f aca="false">IF($C99="","",$C99&amp;"|"&amp;$L99)</f>
        <v/>
      </c>
    </row>
    <row r="100" customFormat="false" ht="19.5" hidden="false" customHeight="true" outlineLevel="0" collapsed="false">
      <c r="A100" s="8" t="str">
        <f aca="false">IF($C100="","",ROW()-7)</f>
        <v/>
      </c>
      <c r="B100" s="9"/>
      <c r="C100" s="9"/>
      <c r="D100" s="10"/>
      <c r="E100" s="11"/>
      <c r="F100" s="11"/>
      <c r="G100" s="10"/>
      <c r="H100" s="13"/>
      <c r="I100" s="14" t="str">
        <f aca="false">IF(OR($B100="",ISTEXT($B100)),IF($B100="Opening","Opening",""),TEXT($B100,"mmm yyyy"))</f>
        <v/>
      </c>
      <c r="J100" s="15" t="str">
        <f aca="false">IF(AND($E100="",$F100=""),"",SUM($E$8:$E100))</f>
        <v/>
      </c>
      <c r="L100" s="0" t="str">
        <f aca="false">IF($C100="","",COUNTIFS($C$8:$C100,$C100))</f>
        <v/>
      </c>
      <c r="M100" s="0" t="str">
        <f aca="false">IF($C100="","",$C100&amp;"|"&amp;$L100)</f>
        <v/>
      </c>
    </row>
    <row r="101" customFormat="false" ht="19.5" hidden="false" customHeight="true" outlineLevel="0" collapsed="false">
      <c r="A101" s="17" t="str">
        <f aca="false">IF($C101="","",ROW()-7)</f>
        <v/>
      </c>
      <c r="B101" s="19"/>
      <c r="C101" s="19"/>
      <c r="D101" s="20"/>
      <c r="E101" s="21"/>
      <c r="F101" s="21"/>
      <c r="G101" s="20"/>
      <c r="H101" s="23"/>
      <c r="I101" s="24" t="str">
        <f aca="false">IF(OR($B101="",ISTEXT($B101)),IF($B101="Opening","Opening",""),TEXT($B101,"mmm yyyy"))</f>
        <v/>
      </c>
      <c r="J101" s="25" t="str">
        <f aca="false">IF(AND($E101="",$F101=""),"",SUM($E$8:$E101))</f>
        <v/>
      </c>
      <c r="L101" s="0" t="str">
        <f aca="false">IF($C101="","",COUNTIFS($C$8:$C101,$C101))</f>
        <v/>
      </c>
      <c r="M101" s="0" t="str">
        <f aca="false">IF($C101="","",$C101&amp;"|"&amp;$L101)</f>
        <v/>
      </c>
    </row>
    <row r="102" customFormat="false" ht="19.5" hidden="false" customHeight="true" outlineLevel="0" collapsed="false">
      <c r="A102" s="8" t="str">
        <f aca="false">IF($C102="","",ROW()-7)</f>
        <v/>
      </c>
      <c r="B102" s="9"/>
      <c r="C102" s="9"/>
      <c r="D102" s="10"/>
      <c r="E102" s="11"/>
      <c r="F102" s="11"/>
      <c r="G102" s="10"/>
      <c r="H102" s="13"/>
      <c r="I102" s="14" t="str">
        <f aca="false">IF(OR($B102="",ISTEXT($B102)),IF($B102="Opening","Opening",""),TEXT($B102,"mmm yyyy"))</f>
        <v/>
      </c>
      <c r="J102" s="15" t="str">
        <f aca="false">IF(AND($E102="",$F102=""),"",SUM($E$8:$E102))</f>
        <v/>
      </c>
      <c r="L102" s="0" t="str">
        <f aca="false">IF($C102="","",COUNTIFS($C$8:$C102,$C102))</f>
        <v/>
      </c>
      <c r="M102" s="0" t="str">
        <f aca="false">IF($C102="","",$C102&amp;"|"&amp;$L102)</f>
        <v/>
      </c>
    </row>
    <row r="103" customFormat="false" ht="19.5" hidden="false" customHeight="true" outlineLevel="0" collapsed="false">
      <c r="A103" s="17" t="str">
        <f aca="false">IF($C103="","",ROW()-7)</f>
        <v/>
      </c>
      <c r="B103" s="19"/>
      <c r="C103" s="19"/>
      <c r="D103" s="20"/>
      <c r="E103" s="21"/>
      <c r="F103" s="21"/>
      <c r="G103" s="20"/>
      <c r="H103" s="23"/>
      <c r="I103" s="24" t="str">
        <f aca="false">IF(OR($B103="",ISTEXT($B103)),IF($B103="Opening","Opening",""),TEXT($B103,"mmm yyyy"))</f>
        <v/>
      </c>
      <c r="J103" s="25" t="str">
        <f aca="false">IF(AND($E103="",$F103=""),"",SUM($E$8:$E103))</f>
        <v/>
      </c>
      <c r="L103" s="0" t="str">
        <f aca="false">IF($C103="","",COUNTIFS($C$8:$C103,$C103))</f>
        <v/>
      </c>
      <c r="M103" s="0" t="str">
        <f aca="false">IF($C103="","",$C103&amp;"|"&amp;$L103)</f>
        <v/>
      </c>
    </row>
    <row r="104" customFormat="false" ht="19.5" hidden="false" customHeight="true" outlineLevel="0" collapsed="false">
      <c r="A104" s="8" t="str">
        <f aca="false">IF($C104="","",ROW()-7)</f>
        <v/>
      </c>
      <c r="B104" s="9"/>
      <c r="C104" s="9"/>
      <c r="D104" s="10"/>
      <c r="E104" s="11"/>
      <c r="F104" s="11"/>
      <c r="G104" s="10"/>
      <c r="H104" s="13"/>
      <c r="I104" s="14" t="str">
        <f aca="false">IF(OR($B104="",ISTEXT($B104)),IF($B104="Opening","Opening",""),TEXT($B104,"mmm yyyy"))</f>
        <v/>
      </c>
      <c r="J104" s="15" t="str">
        <f aca="false">IF(AND($E104="",$F104=""),"",SUM($E$8:$E104))</f>
        <v/>
      </c>
      <c r="L104" s="0" t="str">
        <f aca="false">IF($C104="","",COUNTIFS($C$8:$C104,$C104))</f>
        <v/>
      </c>
      <c r="M104" s="0" t="str">
        <f aca="false">IF($C104="","",$C104&amp;"|"&amp;$L104)</f>
        <v/>
      </c>
    </row>
    <row r="105" customFormat="false" ht="19.5" hidden="false" customHeight="true" outlineLevel="0" collapsed="false">
      <c r="A105" s="17" t="str">
        <f aca="false">IF($C105="","",ROW()-7)</f>
        <v/>
      </c>
      <c r="B105" s="19"/>
      <c r="C105" s="19"/>
      <c r="D105" s="20"/>
      <c r="E105" s="21"/>
      <c r="F105" s="21"/>
      <c r="G105" s="20"/>
      <c r="H105" s="23"/>
      <c r="I105" s="24" t="str">
        <f aca="false">IF(OR($B105="",ISTEXT($B105)),IF($B105="Opening","Opening",""),TEXT($B105,"mmm yyyy"))</f>
        <v/>
      </c>
      <c r="J105" s="25" t="str">
        <f aca="false">IF(AND($E105="",$F105=""),"",SUM($E$8:$E105))</f>
        <v/>
      </c>
      <c r="L105" s="0" t="str">
        <f aca="false">IF($C105="","",COUNTIFS($C$8:$C105,$C105))</f>
        <v/>
      </c>
      <c r="M105" s="0" t="str">
        <f aca="false">IF($C105="","",$C105&amp;"|"&amp;$L105)</f>
        <v/>
      </c>
    </row>
    <row r="106" customFormat="false" ht="19.5" hidden="false" customHeight="true" outlineLevel="0" collapsed="false">
      <c r="A106" s="8" t="str">
        <f aca="false">IF($C106="","",ROW()-7)</f>
        <v/>
      </c>
      <c r="B106" s="9"/>
      <c r="C106" s="9"/>
      <c r="D106" s="10"/>
      <c r="E106" s="11"/>
      <c r="F106" s="11"/>
      <c r="G106" s="10"/>
      <c r="H106" s="13"/>
      <c r="I106" s="14" t="str">
        <f aca="false">IF(OR($B106="",ISTEXT($B106)),IF($B106="Opening","Opening",""),TEXT($B106,"mmm yyyy"))</f>
        <v/>
      </c>
      <c r="J106" s="15" t="str">
        <f aca="false">IF(AND($E106="",$F106=""),"",SUM($E$8:$E106))</f>
        <v/>
      </c>
      <c r="L106" s="0" t="str">
        <f aca="false">IF($C106="","",COUNTIFS($C$8:$C106,$C106))</f>
        <v/>
      </c>
      <c r="M106" s="0" t="str">
        <f aca="false">IF($C106="","",$C106&amp;"|"&amp;$L106)</f>
        <v/>
      </c>
    </row>
    <row r="107" customFormat="false" ht="19.5" hidden="false" customHeight="true" outlineLevel="0" collapsed="false">
      <c r="A107" s="17" t="str">
        <f aca="false">IF($C107="","",ROW()-7)</f>
        <v/>
      </c>
      <c r="B107" s="19"/>
      <c r="C107" s="19"/>
      <c r="D107" s="20"/>
      <c r="E107" s="21"/>
      <c r="F107" s="21"/>
      <c r="G107" s="20"/>
      <c r="H107" s="23"/>
      <c r="I107" s="24" t="str">
        <f aca="false">IF(OR($B107="",ISTEXT($B107)),IF($B107="Opening","Opening",""),TEXT($B107,"mmm yyyy"))</f>
        <v/>
      </c>
      <c r="J107" s="25" t="str">
        <f aca="false">IF(AND($E107="",$F107=""),"",SUM($E$8:$E107))</f>
        <v/>
      </c>
      <c r="L107" s="0" t="str">
        <f aca="false">IF($C107="","",COUNTIFS($C$8:$C107,$C107))</f>
        <v/>
      </c>
      <c r="M107" s="0" t="str">
        <f aca="false">IF($C107="","",$C107&amp;"|"&amp;$L107)</f>
        <v/>
      </c>
    </row>
    <row r="108" customFormat="false" ht="19.5" hidden="false" customHeight="true" outlineLevel="0" collapsed="false">
      <c r="A108" s="8" t="str">
        <f aca="false">IF($C108="","",ROW()-7)</f>
        <v/>
      </c>
      <c r="B108" s="9"/>
      <c r="C108" s="9"/>
      <c r="D108" s="10"/>
      <c r="E108" s="11"/>
      <c r="F108" s="11"/>
      <c r="G108" s="10"/>
      <c r="H108" s="13"/>
      <c r="I108" s="14" t="str">
        <f aca="false">IF(OR($B108="",ISTEXT($B108)),IF($B108="Opening","Opening",""),TEXT($B108,"mmm yyyy"))</f>
        <v/>
      </c>
      <c r="J108" s="15" t="str">
        <f aca="false">IF(AND($E108="",$F108=""),"",SUM($E$8:$E108))</f>
        <v/>
      </c>
      <c r="L108" s="0" t="str">
        <f aca="false">IF($C108="","",COUNTIFS($C$8:$C108,$C108))</f>
        <v/>
      </c>
      <c r="M108" s="0" t="str">
        <f aca="false">IF($C108="","",$C108&amp;"|"&amp;$L108)</f>
        <v/>
      </c>
    </row>
    <row r="109" customFormat="false" ht="19.5" hidden="false" customHeight="true" outlineLevel="0" collapsed="false">
      <c r="A109" s="17" t="str">
        <f aca="false">IF($C109="","",ROW()-7)</f>
        <v/>
      </c>
      <c r="B109" s="19"/>
      <c r="C109" s="19"/>
      <c r="D109" s="20"/>
      <c r="E109" s="21"/>
      <c r="F109" s="21"/>
      <c r="G109" s="20"/>
      <c r="H109" s="23"/>
      <c r="I109" s="24" t="str">
        <f aca="false">IF(OR($B109="",ISTEXT($B109)),IF($B109="Opening","Opening",""),TEXT($B109,"mmm yyyy"))</f>
        <v/>
      </c>
      <c r="J109" s="25" t="str">
        <f aca="false">IF(AND($E109="",$F109=""),"",SUM($E$8:$E109))</f>
        <v/>
      </c>
      <c r="L109" s="0" t="str">
        <f aca="false">IF($C109="","",COUNTIFS($C$8:$C109,$C109))</f>
        <v/>
      </c>
      <c r="M109" s="0" t="str">
        <f aca="false">IF($C109="","",$C109&amp;"|"&amp;$L109)</f>
        <v/>
      </c>
    </row>
    <row r="110" customFormat="false" ht="19.5" hidden="false" customHeight="true" outlineLevel="0" collapsed="false">
      <c r="A110" s="8" t="str">
        <f aca="false">IF($C110="","",ROW()-7)</f>
        <v/>
      </c>
      <c r="B110" s="9"/>
      <c r="C110" s="9"/>
      <c r="D110" s="10"/>
      <c r="E110" s="11"/>
      <c r="F110" s="11"/>
      <c r="G110" s="10"/>
      <c r="H110" s="13"/>
      <c r="I110" s="14" t="str">
        <f aca="false">IF(OR($B110="",ISTEXT($B110)),IF($B110="Opening","Opening",""),TEXT($B110,"mmm yyyy"))</f>
        <v/>
      </c>
      <c r="J110" s="15" t="str">
        <f aca="false">IF(AND($E110="",$F110=""),"",SUM($E$8:$E110))</f>
        <v/>
      </c>
      <c r="L110" s="0" t="str">
        <f aca="false">IF($C110="","",COUNTIFS($C$8:$C110,$C110))</f>
        <v/>
      </c>
      <c r="M110" s="0" t="str">
        <f aca="false">IF($C110="","",$C110&amp;"|"&amp;$L110)</f>
        <v/>
      </c>
    </row>
    <row r="111" customFormat="false" ht="19.5" hidden="false" customHeight="true" outlineLevel="0" collapsed="false">
      <c r="A111" s="17" t="str">
        <f aca="false">IF($C111="","",ROW()-7)</f>
        <v/>
      </c>
      <c r="B111" s="19"/>
      <c r="C111" s="19"/>
      <c r="D111" s="20"/>
      <c r="E111" s="21"/>
      <c r="F111" s="21"/>
      <c r="G111" s="20"/>
      <c r="H111" s="23"/>
      <c r="I111" s="24" t="str">
        <f aca="false">IF(OR($B111="",ISTEXT($B111)),IF($B111="Opening","Opening",""),TEXT($B111,"mmm yyyy"))</f>
        <v/>
      </c>
      <c r="J111" s="25" t="str">
        <f aca="false">IF(AND($E111="",$F111=""),"",SUM($E$8:$E111))</f>
        <v/>
      </c>
      <c r="L111" s="0" t="str">
        <f aca="false">IF($C111="","",COUNTIFS($C$8:$C111,$C111))</f>
        <v/>
      </c>
      <c r="M111" s="0" t="str">
        <f aca="false">IF($C111="","",$C111&amp;"|"&amp;$L111)</f>
        <v/>
      </c>
    </row>
    <row r="112" customFormat="false" ht="19.5" hidden="false" customHeight="true" outlineLevel="0" collapsed="false">
      <c r="A112" s="8" t="str">
        <f aca="false">IF($C112="","",ROW()-7)</f>
        <v/>
      </c>
      <c r="B112" s="9"/>
      <c r="C112" s="9"/>
      <c r="D112" s="10"/>
      <c r="E112" s="11"/>
      <c r="F112" s="11"/>
      <c r="G112" s="10"/>
      <c r="H112" s="13"/>
      <c r="I112" s="14" t="str">
        <f aca="false">IF(OR($B112="",ISTEXT($B112)),IF($B112="Opening","Opening",""),TEXT($B112,"mmm yyyy"))</f>
        <v/>
      </c>
      <c r="J112" s="15" t="str">
        <f aca="false">IF(AND($E112="",$F112=""),"",SUM($E$8:$E112))</f>
        <v/>
      </c>
      <c r="L112" s="0" t="str">
        <f aca="false">IF($C112="","",COUNTIFS($C$8:$C112,$C112))</f>
        <v/>
      </c>
      <c r="M112" s="0" t="str">
        <f aca="false">IF($C112="","",$C112&amp;"|"&amp;$L112)</f>
        <v/>
      </c>
    </row>
    <row r="113" customFormat="false" ht="19.5" hidden="false" customHeight="true" outlineLevel="0" collapsed="false">
      <c r="A113" s="17" t="str">
        <f aca="false">IF($C113="","",ROW()-7)</f>
        <v/>
      </c>
      <c r="B113" s="19"/>
      <c r="C113" s="19"/>
      <c r="D113" s="20"/>
      <c r="E113" s="21"/>
      <c r="F113" s="21"/>
      <c r="G113" s="20"/>
      <c r="H113" s="23"/>
      <c r="I113" s="24" t="str">
        <f aca="false">IF(OR($B113="",ISTEXT($B113)),IF($B113="Opening","Opening",""),TEXT($B113,"mmm yyyy"))</f>
        <v/>
      </c>
      <c r="J113" s="25" t="str">
        <f aca="false">IF(AND($E113="",$F113=""),"",SUM($E$8:$E113))</f>
        <v/>
      </c>
      <c r="L113" s="0" t="str">
        <f aca="false">IF($C113="","",COUNTIFS($C$8:$C113,$C113))</f>
        <v/>
      </c>
      <c r="M113" s="0" t="str">
        <f aca="false">IF($C113="","",$C113&amp;"|"&amp;$L113)</f>
        <v/>
      </c>
    </row>
    <row r="114" customFormat="false" ht="19.5" hidden="false" customHeight="true" outlineLevel="0" collapsed="false">
      <c r="A114" s="8" t="str">
        <f aca="false">IF($C114="","",ROW()-7)</f>
        <v/>
      </c>
      <c r="B114" s="9"/>
      <c r="C114" s="9"/>
      <c r="D114" s="10"/>
      <c r="E114" s="11"/>
      <c r="F114" s="11"/>
      <c r="G114" s="10"/>
      <c r="H114" s="13"/>
      <c r="I114" s="14" t="str">
        <f aca="false">IF(OR($B114="",ISTEXT($B114)),IF($B114="Opening","Opening",""),TEXT($B114,"mmm yyyy"))</f>
        <v/>
      </c>
      <c r="J114" s="15" t="str">
        <f aca="false">IF(AND($E114="",$F114=""),"",SUM($E$8:$E114))</f>
        <v/>
      </c>
      <c r="L114" s="0" t="str">
        <f aca="false">IF($C114="","",COUNTIFS($C$8:$C114,$C114))</f>
        <v/>
      </c>
      <c r="M114" s="0" t="str">
        <f aca="false">IF($C114="","",$C114&amp;"|"&amp;$L114)</f>
        <v/>
      </c>
    </row>
    <row r="115" customFormat="false" ht="19.5" hidden="false" customHeight="true" outlineLevel="0" collapsed="false">
      <c r="A115" s="17" t="str">
        <f aca="false">IF($C115="","",ROW()-7)</f>
        <v/>
      </c>
      <c r="B115" s="19"/>
      <c r="C115" s="19"/>
      <c r="D115" s="20"/>
      <c r="E115" s="21"/>
      <c r="F115" s="21"/>
      <c r="G115" s="20"/>
      <c r="H115" s="23"/>
      <c r="I115" s="24" t="str">
        <f aca="false">IF(OR($B115="",ISTEXT($B115)),IF($B115="Opening","Opening",""),TEXT($B115,"mmm yyyy"))</f>
        <v/>
      </c>
      <c r="J115" s="25" t="str">
        <f aca="false">IF(AND($E115="",$F115=""),"",SUM($E$8:$E115))</f>
        <v/>
      </c>
      <c r="L115" s="0" t="str">
        <f aca="false">IF($C115="","",COUNTIFS($C$8:$C115,$C115))</f>
        <v/>
      </c>
      <c r="M115" s="0" t="str">
        <f aca="false">IF($C115="","",$C115&amp;"|"&amp;$L115)</f>
        <v/>
      </c>
    </row>
    <row r="116" customFormat="false" ht="19.5" hidden="false" customHeight="true" outlineLevel="0" collapsed="false">
      <c r="A116" s="8" t="str">
        <f aca="false">IF($C116="","",ROW()-7)</f>
        <v/>
      </c>
      <c r="B116" s="9"/>
      <c r="C116" s="9"/>
      <c r="D116" s="10"/>
      <c r="E116" s="11"/>
      <c r="F116" s="11"/>
      <c r="G116" s="10"/>
      <c r="H116" s="13"/>
      <c r="I116" s="14" t="str">
        <f aca="false">IF(OR($B116="",ISTEXT($B116)),IF($B116="Opening","Opening",""),TEXT($B116,"mmm yyyy"))</f>
        <v/>
      </c>
      <c r="J116" s="15" t="str">
        <f aca="false">IF(AND($E116="",$F116=""),"",SUM($E$8:$E116))</f>
        <v/>
      </c>
      <c r="L116" s="0" t="str">
        <f aca="false">IF($C116="","",COUNTIFS($C$8:$C116,$C116))</f>
        <v/>
      </c>
      <c r="M116" s="0" t="str">
        <f aca="false">IF($C116="","",$C116&amp;"|"&amp;$L116)</f>
        <v/>
      </c>
    </row>
    <row r="117" customFormat="false" ht="19.5" hidden="false" customHeight="true" outlineLevel="0" collapsed="false">
      <c r="A117" s="17" t="str">
        <f aca="false">IF($C117="","",ROW()-7)</f>
        <v/>
      </c>
      <c r="B117" s="19"/>
      <c r="C117" s="19"/>
      <c r="D117" s="20"/>
      <c r="E117" s="21"/>
      <c r="F117" s="21"/>
      <c r="G117" s="20"/>
      <c r="H117" s="23"/>
      <c r="I117" s="24" t="str">
        <f aca="false">IF(OR($B117="",ISTEXT($B117)),IF($B117="Opening","Opening",""),TEXT($B117,"mmm yyyy"))</f>
        <v/>
      </c>
      <c r="J117" s="25" t="str">
        <f aca="false">IF(AND($E117="",$F117=""),"",SUM($E$8:$E117))</f>
        <v/>
      </c>
      <c r="L117" s="0" t="str">
        <f aca="false">IF($C117="","",COUNTIFS($C$8:$C117,$C117))</f>
        <v/>
      </c>
      <c r="M117" s="0" t="str">
        <f aca="false">IF($C117="","",$C117&amp;"|"&amp;$L117)</f>
        <v/>
      </c>
    </row>
    <row r="118" customFormat="false" ht="19.5" hidden="false" customHeight="true" outlineLevel="0" collapsed="false">
      <c r="A118" s="8" t="str">
        <f aca="false">IF($C118="","",ROW()-7)</f>
        <v/>
      </c>
      <c r="B118" s="9"/>
      <c r="C118" s="9"/>
      <c r="D118" s="10"/>
      <c r="E118" s="11"/>
      <c r="F118" s="11"/>
      <c r="G118" s="10"/>
      <c r="H118" s="13"/>
      <c r="I118" s="14" t="str">
        <f aca="false">IF(OR($B118="",ISTEXT($B118)),IF($B118="Opening","Opening",""),TEXT($B118,"mmm yyyy"))</f>
        <v/>
      </c>
      <c r="J118" s="15" t="str">
        <f aca="false">IF(AND($E118="",$F118=""),"",SUM($E$8:$E118))</f>
        <v/>
      </c>
      <c r="L118" s="0" t="str">
        <f aca="false">IF($C118="","",COUNTIFS($C$8:$C118,$C118))</f>
        <v/>
      </c>
      <c r="M118" s="0" t="str">
        <f aca="false">IF($C118="","",$C118&amp;"|"&amp;$L118)</f>
        <v/>
      </c>
    </row>
    <row r="119" customFormat="false" ht="19.5" hidden="false" customHeight="true" outlineLevel="0" collapsed="false">
      <c r="A119" s="17" t="str">
        <f aca="false">IF($C119="","",ROW()-7)</f>
        <v/>
      </c>
      <c r="B119" s="19"/>
      <c r="C119" s="19"/>
      <c r="D119" s="20"/>
      <c r="E119" s="21"/>
      <c r="F119" s="21"/>
      <c r="G119" s="20"/>
      <c r="H119" s="23"/>
      <c r="I119" s="24" t="str">
        <f aca="false">IF(OR($B119="",ISTEXT($B119)),IF($B119="Opening","Opening",""),TEXT($B119,"mmm yyyy"))</f>
        <v/>
      </c>
      <c r="J119" s="25" t="str">
        <f aca="false">IF(AND($E119="",$F119=""),"",SUM($E$8:$E119))</f>
        <v/>
      </c>
      <c r="L119" s="0" t="str">
        <f aca="false">IF($C119="","",COUNTIFS($C$8:$C119,$C119))</f>
        <v/>
      </c>
      <c r="M119" s="0" t="str">
        <f aca="false">IF($C119="","",$C119&amp;"|"&amp;$L119)</f>
        <v/>
      </c>
    </row>
    <row r="120" customFormat="false" ht="19.5" hidden="false" customHeight="true" outlineLevel="0" collapsed="false">
      <c r="A120" s="8" t="str">
        <f aca="false">IF($C120="","",ROW()-7)</f>
        <v/>
      </c>
      <c r="B120" s="9"/>
      <c r="C120" s="9"/>
      <c r="D120" s="10"/>
      <c r="E120" s="11"/>
      <c r="F120" s="11"/>
      <c r="G120" s="10"/>
      <c r="H120" s="13"/>
      <c r="I120" s="14" t="str">
        <f aca="false">IF(OR($B120="",ISTEXT($B120)),IF($B120="Opening","Opening",""),TEXT($B120,"mmm yyyy"))</f>
        <v/>
      </c>
      <c r="J120" s="15" t="str">
        <f aca="false">IF(AND($E120="",$F120=""),"",SUM($E$8:$E120))</f>
        <v/>
      </c>
      <c r="L120" s="0" t="str">
        <f aca="false">IF($C120="","",COUNTIFS($C$8:$C120,$C120))</f>
        <v/>
      </c>
      <c r="M120" s="0" t="str">
        <f aca="false">IF($C120="","",$C120&amp;"|"&amp;$L120)</f>
        <v/>
      </c>
    </row>
    <row r="121" customFormat="false" ht="19.5" hidden="false" customHeight="true" outlineLevel="0" collapsed="false">
      <c r="A121" s="17" t="str">
        <f aca="false">IF($C121="","",ROW()-7)</f>
        <v/>
      </c>
      <c r="B121" s="19"/>
      <c r="C121" s="19"/>
      <c r="D121" s="20"/>
      <c r="E121" s="21"/>
      <c r="F121" s="21"/>
      <c r="G121" s="20"/>
      <c r="H121" s="23"/>
      <c r="I121" s="24" t="str">
        <f aca="false">IF(OR($B121="",ISTEXT($B121)),IF($B121="Opening","Opening",""),TEXT($B121,"mmm yyyy"))</f>
        <v/>
      </c>
      <c r="J121" s="25" t="str">
        <f aca="false">IF(AND($E121="",$F121=""),"",SUM($E$8:$E121))</f>
        <v/>
      </c>
      <c r="L121" s="0" t="str">
        <f aca="false">IF($C121="","",COUNTIFS($C$8:$C121,$C121))</f>
        <v/>
      </c>
      <c r="M121" s="0" t="str">
        <f aca="false">IF($C121="","",$C121&amp;"|"&amp;$L121)</f>
        <v/>
      </c>
    </row>
    <row r="122" customFormat="false" ht="19.5" hidden="false" customHeight="true" outlineLevel="0" collapsed="false">
      <c r="A122" s="8" t="str">
        <f aca="false">IF($C122="","",ROW()-7)</f>
        <v/>
      </c>
      <c r="B122" s="9"/>
      <c r="C122" s="9"/>
      <c r="D122" s="10"/>
      <c r="E122" s="11"/>
      <c r="F122" s="11"/>
      <c r="G122" s="10"/>
      <c r="H122" s="13"/>
      <c r="I122" s="14" t="str">
        <f aca="false">IF(OR($B122="",ISTEXT($B122)),IF($B122="Opening","Opening",""),TEXT($B122,"mmm yyyy"))</f>
        <v/>
      </c>
      <c r="J122" s="15" t="str">
        <f aca="false">IF(AND($E122="",$F122=""),"",SUM($E$8:$E122))</f>
        <v/>
      </c>
      <c r="L122" s="0" t="str">
        <f aca="false">IF($C122="","",COUNTIFS($C$8:$C122,$C122))</f>
        <v/>
      </c>
      <c r="M122" s="0" t="str">
        <f aca="false">IF($C122="","",$C122&amp;"|"&amp;$L122)</f>
        <v/>
      </c>
    </row>
    <row r="123" customFormat="false" ht="19.5" hidden="false" customHeight="true" outlineLevel="0" collapsed="false">
      <c r="A123" s="17" t="str">
        <f aca="false">IF($C123="","",ROW()-7)</f>
        <v/>
      </c>
      <c r="B123" s="19"/>
      <c r="C123" s="19"/>
      <c r="D123" s="20"/>
      <c r="E123" s="21"/>
      <c r="F123" s="21"/>
      <c r="G123" s="20"/>
      <c r="H123" s="23"/>
      <c r="I123" s="24" t="str">
        <f aca="false">IF(OR($B123="",ISTEXT($B123)),IF($B123="Opening","Opening",""),TEXT($B123,"mmm yyyy"))</f>
        <v/>
      </c>
      <c r="J123" s="25" t="str">
        <f aca="false">IF(AND($E123="",$F123=""),"",SUM($E$8:$E123))</f>
        <v/>
      </c>
      <c r="L123" s="0" t="str">
        <f aca="false">IF($C123="","",COUNTIFS($C$8:$C123,$C123))</f>
        <v/>
      </c>
      <c r="M123" s="0" t="str">
        <f aca="false">IF($C123="","",$C123&amp;"|"&amp;$L123)</f>
        <v/>
      </c>
    </row>
    <row r="124" customFormat="false" ht="19.5" hidden="false" customHeight="true" outlineLevel="0" collapsed="false">
      <c r="A124" s="8" t="str">
        <f aca="false">IF($C124="","",ROW()-7)</f>
        <v/>
      </c>
      <c r="B124" s="9"/>
      <c r="C124" s="9"/>
      <c r="D124" s="10"/>
      <c r="E124" s="11"/>
      <c r="F124" s="11"/>
      <c r="G124" s="10"/>
      <c r="H124" s="13"/>
      <c r="I124" s="14" t="str">
        <f aca="false">IF(OR($B124="",ISTEXT($B124)),IF($B124="Opening","Opening",""),TEXT($B124,"mmm yyyy"))</f>
        <v/>
      </c>
      <c r="J124" s="15" t="str">
        <f aca="false">IF(AND($E124="",$F124=""),"",SUM($E$8:$E124))</f>
        <v/>
      </c>
      <c r="L124" s="0" t="str">
        <f aca="false">IF($C124="","",COUNTIFS($C$8:$C124,$C124))</f>
        <v/>
      </c>
      <c r="M124" s="0" t="str">
        <f aca="false">IF($C124="","",$C124&amp;"|"&amp;$L124)</f>
        <v/>
      </c>
    </row>
    <row r="125" customFormat="false" ht="19.5" hidden="false" customHeight="true" outlineLevel="0" collapsed="false">
      <c r="A125" s="17" t="str">
        <f aca="false">IF($C125="","",ROW()-7)</f>
        <v/>
      </c>
      <c r="B125" s="19"/>
      <c r="C125" s="19"/>
      <c r="D125" s="20"/>
      <c r="E125" s="21"/>
      <c r="F125" s="21"/>
      <c r="G125" s="20"/>
      <c r="H125" s="23"/>
      <c r="I125" s="24" t="str">
        <f aca="false">IF(OR($B125="",ISTEXT($B125)),IF($B125="Opening","Opening",""),TEXT($B125,"mmm yyyy"))</f>
        <v/>
      </c>
      <c r="J125" s="25" t="str">
        <f aca="false">IF(AND($E125="",$F125=""),"",SUM($E$8:$E125))</f>
        <v/>
      </c>
      <c r="L125" s="0" t="str">
        <f aca="false">IF($C125="","",COUNTIFS($C$8:$C125,$C125))</f>
        <v/>
      </c>
      <c r="M125" s="0" t="str">
        <f aca="false">IF($C125="","",$C125&amp;"|"&amp;$L125)</f>
        <v/>
      </c>
    </row>
    <row r="126" customFormat="false" ht="19.5" hidden="false" customHeight="true" outlineLevel="0" collapsed="false">
      <c r="A126" s="8" t="str">
        <f aca="false">IF($C126="","",ROW()-7)</f>
        <v/>
      </c>
      <c r="B126" s="9"/>
      <c r="C126" s="9"/>
      <c r="D126" s="10"/>
      <c r="E126" s="11"/>
      <c r="F126" s="11"/>
      <c r="G126" s="10"/>
      <c r="H126" s="13"/>
      <c r="I126" s="14" t="str">
        <f aca="false">IF(OR($B126="",ISTEXT($B126)),IF($B126="Opening","Opening",""),TEXT($B126,"mmm yyyy"))</f>
        <v/>
      </c>
      <c r="J126" s="15" t="str">
        <f aca="false">IF(AND($E126="",$F126=""),"",SUM($E$8:$E126))</f>
        <v/>
      </c>
      <c r="L126" s="0" t="str">
        <f aca="false">IF($C126="","",COUNTIFS($C$8:$C126,$C126))</f>
        <v/>
      </c>
      <c r="M126" s="0" t="str">
        <f aca="false">IF($C126="","",$C126&amp;"|"&amp;$L126)</f>
        <v/>
      </c>
    </row>
    <row r="127" customFormat="false" ht="19.5" hidden="false" customHeight="true" outlineLevel="0" collapsed="false">
      <c r="A127" s="17" t="str">
        <f aca="false">IF($C127="","",ROW()-7)</f>
        <v/>
      </c>
      <c r="B127" s="19"/>
      <c r="C127" s="19"/>
      <c r="D127" s="20"/>
      <c r="E127" s="21"/>
      <c r="F127" s="21"/>
      <c r="G127" s="20"/>
      <c r="H127" s="23"/>
      <c r="I127" s="24" t="str">
        <f aca="false">IF(OR($B127="",ISTEXT($B127)),IF($B127="Opening","Opening",""),TEXT($B127,"mmm yyyy"))</f>
        <v/>
      </c>
      <c r="J127" s="25" t="str">
        <f aca="false">IF(AND($E127="",$F127=""),"",SUM($E$8:$E127))</f>
        <v/>
      </c>
      <c r="L127" s="0" t="str">
        <f aca="false">IF($C127="","",COUNTIFS($C$8:$C127,$C127))</f>
        <v/>
      </c>
      <c r="M127" s="0" t="str">
        <f aca="false">IF($C127="","",$C127&amp;"|"&amp;$L127)</f>
        <v/>
      </c>
    </row>
    <row r="128" customFormat="false" ht="19.5" hidden="false" customHeight="true" outlineLevel="0" collapsed="false">
      <c r="A128" s="8" t="str">
        <f aca="false">IF($C128="","",ROW()-7)</f>
        <v/>
      </c>
      <c r="B128" s="9"/>
      <c r="C128" s="9"/>
      <c r="D128" s="10"/>
      <c r="E128" s="11"/>
      <c r="F128" s="11"/>
      <c r="G128" s="10"/>
      <c r="H128" s="13"/>
      <c r="I128" s="14" t="str">
        <f aca="false">IF(OR($B128="",ISTEXT($B128)),IF($B128="Opening","Opening",""),TEXT($B128,"mmm yyyy"))</f>
        <v/>
      </c>
      <c r="J128" s="15" t="str">
        <f aca="false">IF(AND($E128="",$F128=""),"",SUM($E$8:$E128))</f>
        <v/>
      </c>
      <c r="L128" s="0" t="str">
        <f aca="false">IF($C128="","",COUNTIFS($C$8:$C128,$C128))</f>
        <v/>
      </c>
      <c r="M128" s="0" t="str">
        <f aca="false">IF($C128="","",$C128&amp;"|"&amp;$L128)</f>
        <v/>
      </c>
    </row>
    <row r="129" customFormat="false" ht="19.5" hidden="false" customHeight="true" outlineLevel="0" collapsed="false">
      <c r="A129" s="17" t="str">
        <f aca="false">IF($C129="","",ROW()-7)</f>
        <v/>
      </c>
      <c r="B129" s="19"/>
      <c r="C129" s="19"/>
      <c r="D129" s="20"/>
      <c r="E129" s="21"/>
      <c r="F129" s="21"/>
      <c r="G129" s="20"/>
      <c r="H129" s="23"/>
      <c r="I129" s="24" t="str">
        <f aca="false">IF(OR($B129="",ISTEXT($B129)),IF($B129="Opening","Opening",""),TEXT($B129,"mmm yyyy"))</f>
        <v/>
      </c>
      <c r="J129" s="25" t="str">
        <f aca="false">IF(AND($E129="",$F129=""),"",SUM($E$8:$E129))</f>
        <v/>
      </c>
      <c r="L129" s="0" t="str">
        <f aca="false">IF($C129="","",COUNTIFS($C$8:$C129,$C129))</f>
        <v/>
      </c>
      <c r="M129" s="0" t="str">
        <f aca="false">IF($C129="","",$C129&amp;"|"&amp;$L129)</f>
        <v/>
      </c>
    </row>
    <row r="130" customFormat="false" ht="19.5" hidden="false" customHeight="true" outlineLevel="0" collapsed="false">
      <c r="A130" s="8" t="str">
        <f aca="false">IF($C130="","",ROW()-7)</f>
        <v/>
      </c>
      <c r="B130" s="9"/>
      <c r="C130" s="9"/>
      <c r="D130" s="10"/>
      <c r="E130" s="11"/>
      <c r="F130" s="11"/>
      <c r="G130" s="10"/>
      <c r="H130" s="13"/>
      <c r="I130" s="14" t="str">
        <f aca="false">IF(OR($B130="",ISTEXT($B130)),IF($B130="Opening","Opening",""),TEXT($B130,"mmm yyyy"))</f>
        <v/>
      </c>
      <c r="J130" s="15" t="str">
        <f aca="false">IF(AND($E130="",$F130=""),"",SUM($E$8:$E130))</f>
        <v/>
      </c>
      <c r="L130" s="0" t="str">
        <f aca="false">IF($C130="","",COUNTIFS($C$8:$C130,$C130))</f>
        <v/>
      </c>
      <c r="M130" s="0" t="str">
        <f aca="false">IF($C130="","",$C130&amp;"|"&amp;$L130)</f>
        <v/>
      </c>
    </row>
    <row r="131" customFormat="false" ht="19.5" hidden="false" customHeight="true" outlineLevel="0" collapsed="false">
      <c r="A131" s="17" t="str">
        <f aca="false">IF($C131="","",ROW()-7)</f>
        <v/>
      </c>
      <c r="B131" s="19"/>
      <c r="C131" s="19"/>
      <c r="D131" s="20"/>
      <c r="E131" s="21"/>
      <c r="F131" s="21"/>
      <c r="G131" s="20"/>
      <c r="H131" s="23"/>
      <c r="I131" s="24" t="str">
        <f aca="false">IF(OR($B131="",ISTEXT($B131)),IF($B131="Opening","Opening",""),TEXT($B131,"mmm yyyy"))</f>
        <v/>
      </c>
      <c r="J131" s="25" t="str">
        <f aca="false">IF(AND($E131="",$F131=""),"",SUM($E$8:$E131))</f>
        <v/>
      </c>
      <c r="L131" s="0" t="str">
        <f aca="false">IF($C131="","",COUNTIFS($C$8:$C131,$C131))</f>
        <v/>
      </c>
      <c r="M131" s="0" t="str">
        <f aca="false">IF($C131="","",$C131&amp;"|"&amp;$L131)</f>
        <v/>
      </c>
    </row>
    <row r="132" customFormat="false" ht="19.5" hidden="false" customHeight="true" outlineLevel="0" collapsed="false">
      <c r="A132" s="8" t="str">
        <f aca="false">IF($C132="","",ROW()-7)</f>
        <v/>
      </c>
      <c r="B132" s="9"/>
      <c r="C132" s="9"/>
      <c r="D132" s="10"/>
      <c r="E132" s="11"/>
      <c r="F132" s="11"/>
      <c r="G132" s="10"/>
      <c r="H132" s="13"/>
      <c r="I132" s="14" t="str">
        <f aca="false">IF(OR($B132="",ISTEXT($B132)),IF($B132="Opening","Opening",""),TEXT($B132,"mmm yyyy"))</f>
        <v/>
      </c>
      <c r="J132" s="15" t="str">
        <f aca="false">IF(AND($E132="",$F132=""),"",SUM($E$8:$E132))</f>
        <v/>
      </c>
      <c r="L132" s="0" t="str">
        <f aca="false">IF($C132="","",COUNTIFS($C$8:$C132,$C132))</f>
        <v/>
      </c>
      <c r="M132" s="0" t="str">
        <f aca="false">IF($C132="","",$C132&amp;"|"&amp;$L132)</f>
        <v/>
      </c>
    </row>
    <row r="133" customFormat="false" ht="19.5" hidden="false" customHeight="true" outlineLevel="0" collapsed="false">
      <c r="A133" s="17" t="str">
        <f aca="false">IF($C133="","",ROW()-7)</f>
        <v/>
      </c>
      <c r="B133" s="19"/>
      <c r="C133" s="19"/>
      <c r="D133" s="20"/>
      <c r="E133" s="21"/>
      <c r="F133" s="21"/>
      <c r="G133" s="20"/>
      <c r="H133" s="23"/>
      <c r="I133" s="24" t="str">
        <f aca="false">IF(OR($B133="",ISTEXT($B133)),IF($B133="Opening","Opening",""),TEXT($B133,"mmm yyyy"))</f>
        <v/>
      </c>
      <c r="J133" s="25" t="str">
        <f aca="false">IF(AND($E133="",$F133=""),"",SUM($E$8:$E133))</f>
        <v/>
      </c>
      <c r="L133" s="0" t="str">
        <f aca="false">IF($C133="","",COUNTIFS($C$8:$C133,$C133))</f>
        <v/>
      </c>
      <c r="M133" s="0" t="str">
        <f aca="false">IF($C133="","",$C133&amp;"|"&amp;$L133)</f>
        <v/>
      </c>
    </row>
    <row r="134" customFormat="false" ht="19.5" hidden="false" customHeight="true" outlineLevel="0" collapsed="false">
      <c r="A134" s="8" t="str">
        <f aca="false">IF($C134="","",ROW()-7)</f>
        <v/>
      </c>
      <c r="B134" s="9"/>
      <c r="C134" s="9"/>
      <c r="D134" s="10"/>
      <c r="E134" s="11"/>
      <c r="F134" s="11"/>
      <c r="G134" s="10"/>
      <c r="H134" s="13"/>
      <c r="I134" s="14" t="str">
        <f aca="false">IF(OR($B134="",ISTEXT($B134)),IF($B134="Opening","Opening",""),TEXT($B134,"mmm yyyy"))</f>
        <v/>
      </c>
      <c r="J134" s="15" t="str">
        <f aca="false">IF(AND($E134="",$F134=""),"",SUM($E$8:$E134))</f>
        <v/>
      </c>
      <c r="L134" s="0" t="str">
        <f aca="false">IF($C134="","",COUNTIFS($C$8:$C134,$C134))</f>
        <v/>
      </c>
      <c r="M134" s="0" t="str">
        <f aca="false">IF($C134="","",$C134&amp;"|"&amp;$L134)</f>
        <v/>
      </c>
    </row>
    <row r="135" customFormat="false" ht="19.5" hidden="false" customHeight="true" outlineLevel="0" collapsed="false">
      <c r="A135" s="17" t="str">
        <f aca="false">IF($C135="","",ROW()-7)</f>
        <v/>
      </c>
      <c r="B135" s="19"/>
      <c r="C135" s="19"/>
      <c r="D135" s="20"/>
      <c r="E135" s="21"/>
      <c r="F135" s="21"/>
      <c r="G135" s="20"/>
      <c r="H135" s="23"/>
      <c r="I135" s="24" t="str">
        <f aca="false">IF(OR($B135="",ISTEXT($B135)),IF($B135="Opening","Opening",""),TEXT($B135,"mmm yyyy"))</f>
        <v/>
      </c>
      <c r="J135" s="25" t="str">
        <f aca="false">IF(AND($E135="",$F135=""),"",SUM($E$8:$E135))</f>
        <v/>
      </c>
      <c r="L135" s="0" t="str">
        <f aca="false">IF($C135="","",COUNTIFS($C$8:$C135,$C135))</f>
        <v/>
      </c>
      <c r="M135" s="0" t="str">
        <f aca="false">IF($C135="","",$C135&amp;"|"&amp;$L135)</f>
        <v/>
      </c>
    </row>
    <row r="136" customFormat="false" ht="19.5" hidden="false" customHeight="true" outlineLevel="0" collapsed="false">
      <c r="A136" s="8" t="str">
        <f aca="false">IF($C136="","",ROW()-7)</f>
        <v/>
      </c>
      <c r="B136" s="9"/>
      <c r="C136" s="9"/>
      <c r="D136" s="10"/>
      <c r="E136" s="11"/>
      <c r="F136" s="11"/>
      <c r="G136" s="10"/>
      <c r="H136" s="13"/>
      <c r="I136" s="14" t="str">
        <f aca="false">IF(OR($B136="",ISTEXT($B136)),IF($B136="Opening","Opening",""),TEXT($B136,"mmm yyyy"))</f>
        <v/>
      </c>
      <c r="J136" s="15" t="str">
        <f aca="false">IF(AND($E136="",$F136=""),"",SUM($E$8:$E136))</f>
        <v/>
      </c>
      <c r="L136" s="0" t="str">
        <f aca="false">IF($C136="","",COUNTIFS($C$8:$C136,$C136))</f>
        <v/>
      </c>
      <c r="M136" s="0" t="str">
        <f aca="false">IF($C136="","",$C136&amp;"|"&amp;$L136)</f>
        <v/>
      </c>
    </row>
    <row r="137" customFormat="false" ht="19.5" hidden="false" customHeight="true" outlineLevel="0" collapsed="false">
      <c r="A137" s="17" t="str">
        <f aca="false">IF($C137="","",ROW()-7)</f>
        <v/>
      </c>
      <c r="B137" s="19"/>
      <c r="C137" s="19"/>
      <c r="D137" s="20"/>
      <c r="E137" s="21"/>
      <c r="F137" s="21"/>
      <c r="G137" s="20"/>
      <c r="H137" s="23"/>
      <c r="I137" s="24" t="str">
        <f aca="false">IF(OR($B137="",ISTEXT($B137)),IF($B137="Opening","Opening",""),TEXT($B137,"mmm yyyy"))</f>
        <v/>
      </c>
      <c r="J137" s="25" t="str">
        <f aca="false">IF(AND($E137="",$F137=""),"",SUM($E$8:$E137))</f>
        <v/>
      </c>
      <c r="L137" s="0" t="str">
        <f aca="false">IF($C137="","",COUNTIFS($C$8:$C137,$C137))</f>
        <v/>
      </c>
      <c r="M137" s="0" t="str">
        <f aca="false">IF($C137="","",$C137&amp;"|"&amp;$L137)</f>
        <v/>
      </c>
    </row>
    <row r="138" customFormat="false" ht="19.5" hidden="false" customHeight="true" outlineLevel="0" collapsed="false">
      <c r="A138" s="8" t="str">
        <f aca="false">IF($C138="","",ROW()-7)</f>
        <v/>
      </c>
      <c r="B138" s="9"/>
      <c r="C138" s="9"/>
      <c r="D138" s="10"/>
      <c r="E138" s="11"/>
      <c r="F138" s="11"/>
      <c r="G138" s="10"/>
      <c r="H138" s="13"/>
      <c r="I138" s="14" t="str">
        <f aca="false">IF(OR($B138="",ISTEXT($B138)),IF($B138="Opening","Opening",""),TEXT($B138,"mmm yyyy"))</f>
        <v/>
      </c>
      <c r="J138" s="15" t="str">
        <f aca="false">IF(AND($E138="",$F138=""),"",SUM($E$8:$E138))</f>
        <v/>
      </c>
      <c r="L138" s="0" t="str">
        <f aca="false">IF($C138="","",COUNTIFS($C$8:$C138,$C138))</f>
        <v/>
      </c>
      <c r="M138" s="0" t="str">
        <f aca="false">IF($C138="","",$C138&amp;"|"&amp;$L138)</f>
        <v/>
      </c>
    </row>
    <row r="139" customFormat="false" ht="19.5" hidden="false" customHeight="true" outlineLevel="0" collapsed="false">
      <c r="A139" s="17" t="str">
        <f aca="false">IF($C139="","",ROW()-7)</f>
        <v/>
      </c>
      <c r="B139" s="19"/>
      <c r="C139" s="19"/>
      <c r="D139" s="20"/>
      <c r="E139" s="21"/>
      <c r="F139" s="21"/>
      <c r="G139" s="20"/>
      <c r="H139" s="23"/>
      <c r="I139" s="24" t="str">
        <f aca="false">IF(OR($B139="",ISTEXT($B139)),IF($B139="Opening","Opening",""),TEXT($B139,"mmm yyyy"))</f>
        <v/>
      </c>
      <c r="J139" s="25" t="str">
        <f aca="false">IF(AND($E139="",$F139=""),"",SUM($E$8:$E139))</f>
        <v/>
      </c>
      <c r="L139" s="0" t="str">
        <f aca="false">IF($C139="","",COUNTIFS($C$8:$C139,$C139))</f>
        <v/>
      </c>
      <c r="M139" s="0" t="str">
        <f aca="false">IF($C139="","",$C139&amp;"|"&amp;$L139)</f>
        <v/>
      </c>
    </row>
    <row r="140" customFormat="false" ht="19.5" hidden="false" customHeight="true" outlineLevel="0" collapsed="false">
      <c r="A140" s="8" t="str">
        <f aca="false">IF($C140="","",ROW()-7)</f>
        <v/>
      </c>
      <c r="B140" s="9"/>
      <c r="C140" s="9"/>
      <c r="D140" s="10"/>
      <c r="E140" s="11"/>
      <c r="F140" s="11"/>
      <c r="G140" s="10"/>
      <c r="H140" s="13"/>
      <c r="I140" s="14" t="str">
        <f aca="false">IF(OR($B140="",ISTEXT($B140)),IF($B140="Opening","Opening",""),TEXT($B140,"mmm yyyy"))</f>
        <v/>
      </c>
      <c r="J140" s="15" t="str">
        <f aca="false">IF(AND($E140="",$F140=""),"",SUM($E$8:$E140))</f>
        <v/>
      </c>
      <c r="L140" s="0" t="str">
        <f aca="false">IF($C140="","",COUNTIFS($C$8:$C140,$C140))</f>
        <v/>
      </c>
      <c r="M140" s="0" t="str">
        <f aca="false">IF($C140="","",$C140&amp;"|"&amp;$L140)</f>
        <v/>
      </c>
    </row>
    <row r="141" customFormat="false" ht="19.5" hidden="false" customHeight="true" outlineLevel="0" collapsed="false">
      <c r="A141" s="17" t="str">
        <f aca="false">IF($C141="","",ROW()-7)</f>
        <v/>
      </c>
      <c r="B141" s="19"/>
      <c r="C141" s="19"/>
      <c r="D141" s="20"/>
      <c r="E141" s="21"/>
      <c r="F141" s="21"/>
      <c r="G141" s="20"/>
      <c r="H141" s="23"/>
      <c r="I141" s="24" t="str">
        <f aca="false">IF(OR($B141="",ISTEXT($B141)),IF($B141="Opening","Opening",""),TEXT($B141,"mmm yyyy"))</f>
        <v/>
      </c>
      <c r="J141" s="25" t="str">
        <f aca="false">IF(AND($E141="",$F141=""),"",SUM($E$8:$E141))</f>
        <v/>
      </c>
      <c r="L141" s="0" t="str">
        <f aca="false">IF($C141="","",COUNTIFS($C$8:$C141,$C141))</f>
        <v/>
      </c>
      <c r="M141" s="0" t="str">
        <f aca="false">IF($C141="","",$C141&amp;"|"&amp;$L141)</f>
        <v/>
      </c>
    </row>
    <row r="142" customFormat="false" ht="19.5" hidden="false" customHeight="true" outlineLevel="0" collapsed="false">
      <c r="A142" s="8" t="str">
        <f aca="false">IF($C142="","",ROW()-7)</f>
        <v/>
      </c>
      <c r="B142" s="9"/>
      <c r="C142" s="9"/>
      <c r="D142" s="10"/>
      <c r="E142" s="11"/>
      <c r="F142" s="11"/>
      <c r="G142" s="10"/>
      <c r="H142" s="13"/>
      <c r="I142" s="14" t="str">
        <f aca="false">IF(OR($B142="",ISTEXT($B142)),IF($B142="Opening","Opening",""),TEXT($B142,"mmm yyyy"))</f>
        <v/>
      </c>
      <c r="J142" s="15" t="str">
        <f aca="false">IF(AND($E142="",$F142=""),"",SUM($E$8:$E142))</f>
        <v/>
      </c>
      <c r="L142" s="0" t="str">
        <f aca="false">IF($C142="","",COUNTIFS($C$8:$C142,$C142))</f>
        <v/>
      </c>
      <c r="M142" s="0" t="str">
        <f aca="false">IF($C142="","",$C142&amp;"|"&amp;$L142)</f>
        <v/>
      </c>
    </row>
    <row r="143" customFormat="false" ht="19.5" hidden="false" customHeight="true" outlineLevel="0" collapsed="false">
      <c r="A143" s="17" t="str">
        <f aca="false">IF($C143="","",ROW()-7)</f>
        <v/>
      </c>
      <c r="B143" s="19"/>
      <c r="C143" s="19"/>
      <c r="D143" s="20"/>
      <c r="E143" s="21"/>
      <c r="F143" s="21"/>
      <c r="G143" s="20"/>
      <c r="H143" s="23"/>
      <c r="I143" s="24" t="str">
        <f aca="false">IF(OR($B143="",ISTEXT($B143)),IF($B143="Opening","Opening",""),TEXT($B143,"mmm yyyy"))</f>
        <v/>
      </c>
      <c r="J143" s="25" t="str">
        <f aca="false">IF(AND($E143="",$F143=""),"",SUM($E$8:$E143))</f>
        <v/>
      </c>
      <c r="L143" s="0" t="str">
        <f aca="false">IF($C143="","",COUNTIFS($C$8:$C143,$C143))</f>
        <v/>
      </c>
      <c r="M143" s="0" t="str">
        <f aca="false">IF($C143="","",$C143&amp;"|"&amp;$L143)</f>
        <v/>
      </c>
    </row>
    <row r="144" customFormat="false" ht="19.5" hidden="false" customHeight="true" outlineLevel="0" collapsed="false">
      <c r="A144" s="8" t="str">
        <f aca="false">IF($C144="","",ROW()-7)</f>
        <v/>
      </c>
      <c r="B144" s="9"/>
      <c r="C144" s="9"/>
      <c r="D144" s="10"/>
      <c r="E144" s="11"/>
      <c r="F144" s="11"/>
      <c r="G144" s="10"/>
      <c r="H144" s="13"/>
      <c r="I144" s="14" t="str">
        <f aca="false">IF(OR($B144="",ISTEXT($B144)),IF($B144="Opening","Opening",""),TEXT($B144,"mmm yyyy"))</f>
        <v/>
      </c>
      <c r="J144" s="15" t="str">
        <f aca="false">IF(AND($E144="",$F144=""),"",SUM($E$8:$E144))</f>
        <v/>
      </c>
      <c r="L144" s="0" t="str">
        <f aca="false">IF($C144="","",COUNTIFS($C$8:$C144,$C144))</f>
        <v/>
      </c>
      <c r="M144" s="0" t="str">
        <f aca="false">IF($C144="","",$C144&amp;"|"&amp;$L144)</f>
        <v/>
      </c>
    </row>
    <row r="145" customFormat="false" ht="19.5" hidden="false" customHeight="true" outlineLevel="0" collapsed="false">
      <c r="A145" s="17" t="str">
        <f aca="false">IF($C145="","",ROW()-7)</f>
        <v/>
      </c>
      <c r="B145" s="19"/>
      <c r="C145" s="19"/>
      <c r="D145" s="20"/>
      <c r="E145" s="21"/>
      <c r="F145" s="21"/>
      <c r="G145" s="20"/>
      <c r="H145" s="23"/>
      <c r="I145" s="24" t="str">
        <f aca="false">IF(OR($B145="",ISTEXT($B145)),IF($B145="Opening","Opening",""),TEXT($B145,"mmm yyyy"))</f>
        <v/>
      </c>
      <c r="J145" s="25" t="str">
        <f aca="false">IF(AND($E145="",$F145=""),"",SUM($E$8:$E145))</f>
        <v/>
      </c>
      <c r="L145" s="0" t="str">
        <f aca="false">IF($C145="","",COUNTIFS($C$8:$C145,$C145))</f>
        <v/>
      </c>
      <c r="M145" s="0" t="str">
        <f aca="false">IF($C145="","",$C145&amp;"|"&amp;$L145)</f>
        <v/>
      </c>
    </row>
    <row r="146" customFormat="false" ht="19.5" hidden="false" customHeight="true" outlineLevel="0" collapsed="false">
      <c r="A146" s="8" t="str">
        <f aca="false">IF($C146="","",ROW()-7)</f>
        <v/>
      </c>
      <c r="B146" s="9"/>
      <c r="C146" s="9"/>
      <c r="D146" s="10"/>
      <c r="E146" s="11"/>
      <c r="F146" s="11"/>
      <c r="G146" s="10"/>
      <c r="H146" s="13"/>
      <c r="I146" s="14" t="str">
        <f aca="false">IF(OR($B146="",ISTEXT($B146)),IF($B146="Opening","Opening",""),TEXT($B146,"mmm yyyy"))</f>
        <v/>
      </c>
      <c r="J146" s="15" t="str">
        <f aca="false">IF(AND($E146="",$F146=""),"",SUM($E$8:$E146))</f>
        <v/>
      </c>
      <c r="L146" s="0" t="str">
        <f aca="false">IF($C146="","",COUNTIFS($C$8:$C146,$C146))</f>
        <v/>
      </c>
      <c r="M146" s="0" t="str">
        <f aca="false">IF($C146="","",$C146&amp;"|"&amp;$L146)</f>
        <v/>
      </c>
    </row>
    <row r="147" customFormat="false" ht="19.5" hidden="false" customHeight="true" outlineLevel="0" collapsed="false">
      <c r="A147" s="17" t="str">
        <f aca="false">IF($C147="","",ROW()-7)</f>
        <v/>
      </c>
      <c r="B147" s="19"/>
      <c r="C147" s="19"/>
      <c r="D147" s="20"/>
      <c r="E147" s="21"/>
      <c r="F147" s="21"/>
      <c r="G147" s="20"/>
      <c r="H147" s="23"/>
      <c r="I147" s="24" t="str">
        <f aca="false">IF(OR($B147="",ISTEXT($B147)),IF($B147="Opening","Opening",""),TEXT($B147,"mmm yyyy"))</f>
        <v/>
      </c>
      <c r="J147" s="25" t="str">
        <f aca="false">IF(AND($E147="",$F147=""),"",SUM($E$8:$E147))</f>
        <v/>
      </c>
      <c r="L147" s="0" t="str">
        <f aca="false">IF($C147="","",COUNTIFS($C$8:$C147,$C147))</f>
        <v/>
      </c>
      <c r="M147" s="0" t="str">
        <f aca="false">IF($C147="","",$C147&amp;"|"&amp;$L147)</f>
        <v/>
      </c>
    </row>
    <row r="148" customFormat="false" ht="19.5" hidden="false" customHeight="true" outlineLevel="0" collapsed="false">
      <c r="A148" s="8" t="str">
        <f aca="false">IF($C148="","",ROW()-7)</f>
        <v/>
      </c>
      <c r="B148" s="9"/>
      <c r="C148" s="9"/>
      <c r="D148" s="10"/>
      <c r="E148" s="11"/>
      <c r="F148" s="11"/>
      <c r="G148" s="10"/>
      <c r="H148" s="13"/>
      <c r="I148" s="14" t="str">
        <f aca="false">IF(OR($B148="",ISTEXT($B148)),IF($B148="Opening","Opening",""),TEXT($B148,"mmm yyyy"))</f>
        <v/>
      </c>
      <c r="J148" s="15" t="str">
        <f aca="false">IF(AND($E148="",$F148=""),"",SUM($E$8:$E148))</f>
        <v/>
      </c>
      <c r="L148" s="0" t="str">
        <f aca="false">IF($C148="","",COUNTIFS($C$8:$C148,$C148))</f>
        <v/>
      </c>
      <c r="M148" s="0" t="str">
        <f aca="false">IF($C148="","",$C148&amp;"|"&amp;$L148)</f>
        <v/>
      </c>
    </row>
    <row r="149" customFormat="false" ht="19.5" hidden="false" customHeight="true" outlineLevel="0" collapsed="false">
      <c r="A149" s="17" t="str">
        <f aca="false">IF($C149="","",ROW()-7)</f>
        <v/>
      </c>
      <c r="B149" s="19"/>
      <c r="C149" s="19"/>
      <c r="D149" s="20"/>
      <c r="E149" s="21"/>
      <c r="F149" s="21"/>
      <c r="G149" s="20"/>
      <c r="H149" s="23"/>
      <c r="I149" s="24" t="str">
        <f aca="false">IF(OR($B149="",ISTEXT($B149)),IF($B149="Opening","Opening",""),TEXT($B149,"mmm yyyy"))</f>
        <v/>
      </c>
      <c r="J149" s="25" t="str">
        <f aca="false">IF(AND($E149="",$F149=""),"",SUM($E$8:$E149))</f>
        <v/>
      </c>
      <c r="L149" s="0" t="str">
        <f aca="false">IF($C149="","",COUNTIFS($C$8:$C149,$C149))</f>
        <v/>
      </c>
      <c r="M149" s="0" t="str">
        <f aca="false">IF($C149="","",$C149&amp;"|"&amp;$L149)</f>
        <v/>
      </c>
    </row>
    <row r="150" customFormat="false" ht="19.5" hidden="false" customHeight="true" outlineLevel="0" collapsed="false">
      <c r="A150" s="8" t="str">
        <f aca="false">IF($C150="","",ROW()-7)</f>
        <v/>
      </c>
      <c r="B150" s="9"/>
      <c r="C150" s="9"/>
      <c r="D150" s="10"/>
      <c r="E150" s="11"/>
      <c r="F150" s="11"/>
      <c r="G150" s="10"/>
      <c r="H150" s="13"/>
      <c r="I150" s="14" t="str">
        <f aca="false">IF(OR($B150="",ISTEXT($B150)),IF($B150="Opening","Opening",""),TEXT($B150,"mmm yyyy"))</f>
        <v/>
      </c>
      <c r="J150" s="15" t="str">
        <f aca="false">IF(AND($E150="",$F150=""),"",SUM($E$8:$E150))</f>
        <v/>
      </c>
      <c r="L150" s="0" t="str">
        <f aca="false">IF($C150="","",COUNTIFS($C$8:$C150,$C150))</f>
        <v/>
      </c>
      <c r="M150" s="0" t="str">
        <f aca="false">IF($C150="","",$C150&amp;"|"&amp;$L150)</f>
        <v/>
      </c>
    </row>
    <row r="151" customFormat="false" ht="19.5" hidden="false" customHeight="true" outlineLevel="0" collapsed="false">
      <c r="A151" s="17" t="str">
        <f aca="false">IF($C151="","",ROW()-7)</f>
        <v/>
      </c>
      <c r="B151" s="19"/>
      <c r="C151" s="19"/>
      <c r="D151" s="20"/>
      <c r="E151" s="21"/>
      <c r="F151" s="21"/>
      <c r="G151" s="20"/>
      <c r="H151" s="23"/>
      <c r="I151" s="24" t="str">
        <f aca="false">IF(OR($B151="",ISTEXT($B151)),IF($B151="Opening","Opening",""),TEXT($B151,"mmm yyyy"))</f>
        <v/>
      </c>
      <c r="J151" s="25" t="str">
        <f aca="false">IF(AND($E151="",$F151=""),"",SUM($E$8:$E151))</f>
        <v/>
      </c>
      <c r="L151" s="0" t="str">
        <f aca="false">IF($C151="","",COUNTIFS($C$8:$C151,$C151))</f>
        <v/>
      </c>
      <c r="M151" s="0" t="str">
        <f aca="false">IF($C151="","",$C151&amp;"|"&amp;$L151)</f>
        <v/>
      </c>
    </row>
    <row r="152" customFormat="false" ht="19.5" hidden="false" customHeight="true" outlineLevel="0" collapsed="false">
      <c r="A152" s="8" t="str">
        <f aca="false">IF($C152="","",ROW()-7)</f>
        <v/>
      </c>
      <c r="B152" s="9"/>
      <c r="C152" s="9"/>
      <c r="D152" s="10"/>
      <c r="E152" s="11"/>
      <c r="F152" s="11"/>
      <c r="G152" s="10"/>
      <c r="H152" s="13"/>
      <c r="I152" s="14" t="str">
        <f aca="false">IF(OR($B152="",ISTEXT($B152)),IF($B152="Opening","Opening",""),TEXT($B152,"mmm yyyy"))</f>
        <v/>
      </c>
      <c r="J152" s="15" t="str">
        <f aca="false">IF(AND($E152="",$F152=""),"",SUM($E$8:$E152))</f>
        <v/>
      </c>
      <c r="L152" s="0" t="str">
        <f aca="false">IF($C152="","",COUNTIFS($C$8:$C152,$C152))</f>
        <v/>
      </c>
      <c r="M152" s="0" t="str">
        <f aca="false">IF($C152="","",$C152&amp;"|"&amp;$L152)</f>
        <v/>
      </c>
    </row>
    <row r="153" customFormat="false" ht="19.5" hidden="false" customHeight="true" outlineLevel="0" collapsed="false">
      <c r="A153" s="17" t="str">
        <f aca="false">IF($C153="","",ROW()-7)</f>
        <v/>
      </c>
      <c r="B153" s="19"/>
      <c r="C153" s="19"/>
      <c r="D153" s="20"/>
      <c r="E153" s="21"/>
      <c r="F153" s="21"/>
      <c r="G153" s="20"/>
      <c r="H153" s="23"/>
      <c r="I153" s="24" t="str">
        <f aca="false">IF(OR($B153="",ISTEXT($B153)),IF($B153="Opening","Opening",""),TEXT($B153,"mmm yyyy"))</f>
        <v/>
      </c>
      <c r="J153" s="25" t="str">
        <f aca="false">IF(AND($E153="",$F153=""),"",SUM($E$8:$E153))</f>
        <v/>
      </c>
      <c r="L153" s="0" t="str">
        <f aca="false">IF($C153="","",COUNTIFS($C$8:$C153,$C153))</f>
        <v/>
      </c>
      <c r="M153" s="0" t="str">
        <f aca="false">IF($C153="","",$C153&amp;"|"&amp;$L153)</f>
        <v/>
      </c>
    </row>
    <row r="154" customFormat="false" ht="19.5" hidden="false" customHeight="true" outlineLevel="0" collapsed="false">
      <c r="A154" s="8" t="str">
        <f aca="false">IF($C154="","",ROW()-7)</f>
        <v/>
      </c>
      <c r="B154" s="9"/>
      <c r="C154" s="9"/>
      <c r="D154" s="10"/>
      <c r="E154" s="11"/>
      <c r="F154" s="11"/>
      <c r="G154" s="10"/>
      <c r="H154" s="13"/>
      <c r="I154" s="14" t="str">
        <f aca="false">IF(OR($B154="",ISTEXT($B154)),IF($B154="Opening","Opening",""),TEXT($B154,"mmm yyyy"))</f>
        <v/>
      </c>
      <c r="J154" s="15" t="str">
        <f aca="false">IF(AND($E154="",$F154=""),"",SUM($E$8:$E154))</f>
        <v/>
      </c>
      <c r="L154" s="0" t="str">
        <f aca="false">IF($C154="","",COUNTIFS($C$8:$C154,$C154))</f>
        <v/>
      </c>
      <c r="M154" s="0" t="str">
        <f aca="false">IF($C154="","",$C154&amp;"|"&amp;$L154)</f>
        <v/>
      </c>
    </row>
    <row r="155" customFormat="false" ht="19.5" hidden="false" customHeight="true" outlineLevel="0" collapsed="false">
      <c r="A155" s="17" t="str">
        <f aca="false">IF($C155="","",ROW()-7)</f>
        <v/>
      </c>
      <c r="B155" s="19"/>
      <c r="C155" s="19"/>
      <c r="D155" s="20"/>
      <c r="E155" s="21"/>
      <c r="F155" s="21"/>
      <c r="G155" s="20"/>
      <c r="H155" s="23"/>
      <c r="I155" s="24" t="str">
        <f aca="false">IF(OR($B155="",ISTEXT($B155)),IF($B155="Opening","Opening",""),TEXT($B155,"mmm yyyy"))</f>
        <v/>
      </c>
      <c r="J155" s="25" t="str">
        <f aca="false">IF(AND($E155="",$F155=""),"",SUM($E$8:$E155))</f>
        <v/>
      </c>
      <c r="L155" s="0" t="str">
        <f aca="false">IF($C155="","",COUNTIFS($C$8:$C155,$C155))</f>
        <v/>
      </c>
      <c r="M155" s="0" t="str">
        <f aca="false">IF($C155="","",$C155&amp;"|"&amp;$L155)</f>
        <v/>
      </c>
    </row>
    <row r="156" customFormat="false" ht="19.5" hidden="false" customHeight="true" outlineLevel="0" collapsed="false">
      <c r="A156" s="8" t="str">
        <f aca="false">IF($C156="","",ROW()-7)</f>
        <v/>
      </c>
      <c r="B156" s="9"/>
      <c r="C156" s="9"/>
      <c r="D156" s="10"/>
      <c r="E156" s="11"/>
      <c r="F156" s="11"/>
      <c r="G156" s="10"/>
      <c r="H156" s="13"/>
      <c r="I156" s="14" t="str">
        <f aca="false">IF(OR($B156="",ISTEXT($B156)),IF($B156="Opening","Opening",""),TEXT($B156,"mmm yyyy"))</f>
        <v/>
      </c>
      <c r="J156" s="15" t="str">
        <f aca="false">IF(AND($E156="",$F156=""),"",SUM($E$8:$E156))</f>
        <v/>
      </c>
      <c r="L156" s="0" t="str">
        <f aca="false">IF($C156="","",COUNTIFS($C$8:$C156,$C156))</f>
        <v/>
      </c>
      <c r="M156" s="0" t="str">
        <f aca="false">IF($C156="","",$C156&amp;"|"&amp;$L156)</f>
        <v/>
      </c>
    </row>
    <row r="157" customFormat="false" ht="19.5" hidden="false" customHeight="true" outlineLevel="0" collapsed="false">
      <c r="A157" s="17" t="str">
        <f aca="false">IF($C157="","",ROW()-7)</f>
        <v/>
      </c>
      <c r="B157" s="19"/>
      <c r="C157" s="19"/>
      <c r="D157" s="20"/>
      <c r="E157" s="21"/>
      <c r="F157" s="21"/>
      <c r="G157" s="20"/>
      <c r="H157" s="23"/>
      <c r="I157" s="24" t="str">
        <f aca="false">IF(OR($B157="",ISTEXT($B157)),IF($B157="Opening","Opening",""),TEXT($B157,"mmm yyyy"))</f>
        <v/>
      </c>
      <c r="J157" s="25" t="str">
        <f aca="false">IF(AND($E157="",$F157=""),"",SUM($E$8:$E157))</f>
        <v/>
      </c>
      <c r="L157" s="0" t="str">
        <f aca="false">IF($C157="","",COUNTIFS($C$8:$C157,$C157))</f>
        <v/>
      </c>
      <c r="M157" s="0" t="str">
        <f aca="false">IF($C157="","",$C157&amp;"|"&amp;$L157)</f>
        <v/>
      </c>
    </row>
    <row r="158" customFormat="false" ht="19.5" hidden="false" customHeight="true" outlineLevel="0" collapsed="false">
      <c r="A158" s="8" t="str">
        <f aca="false">IF($C158="","",ROW()-7)</f>
        <v/>
      </c>
      <c r="B158" s="9"/>
      <c r="C158" s="9"/>
      <c r="D158" s="10"/>
      <c r="E158" s="11"/>
      <c r="F158" s="11"/>
      <c r="G158" s="10"/>
      <c r="H158" s="13"/>
      <c r="I158" s="14" t="str">
        <f aca="false">IF(OR($B158="",ISTEXT($B158)),IF($B158="Opening","Opening",""),TEXT($B158,"mmm yyyy"))</f>
        <v/>
      </c>
      <c r="J158" s="15" t="str">
        <f aca="false">IF(AND($E158="",$F158=""),"",SUM($E$8:$E158))</f>
        <v/>
      </c>
      <c r="L158" s="0" t="str">
        <f aca="false">IF($C158="","",COUNTIFS($C$8:$C158,$C158))</f>
        <v/>
      </c>
      <c r="M158" s="0" t="str">
        <f aca="false">IF($C158="","",$C158&amp;"|"&amp;$L158)</f>
        <v/>
      </c>
    </row>
    <row r="159" customFormat="false" ht="19.5" hidden="false" customHeight="true" outlineLevel="0" collapsed="false">
      <c r="A159" s="17" t="str">
        <f aca="false">IF($C159="","",ROW()-7)</f>
        <v/>
      </c>
      <c r="B159" s="19"/>
      <c r="C159" s="19"/>
      <c r="D159" s="20"/>
      <c r="E159" s="21"/>
      <c r="F159" s="21"/>
      <c r="G159" s="20"/>
      <c r="H159" s="23"/>
      <c r="I159" s="24" t="str">
        <f aca="false">IF(OR($B159="",ISTEXT($B159)),IF($B159="Opening","Opening",""),TEXT($B159,"mmm yyyy"))</f>
        <v/>
      </c>
      <c r="J159" s="25" t="str">
        <f aca="false">IF(AND($E159="",$F159=""),"",SUM($E$8:$E159))</f>
        <v/>
      </c>
      <c r="L159" s="0" t="str">
        <f aca="false">IF($C159="","",COUNTIFS($C$8:$C159,$C159))</f>
        <v/>
      </c>
      <c r="M159" s="0" t="str">
        <f aca="false">IF($C159="","",$C159&amp;"|"&amp;$L159)</f>
        <v/>
      </c>
    </row>
    <row r="160" customFormat="false" ht="19.5" hidden="false" customHeight="true" outlineLevel="0" collapsed="false">
      <c r="A160" s="8" t="str">
        <f aca="false">IF($C160="","",ROW()-7)</f>
        <v/>
      </c>
      <c r="B160" s="9"/>
      <c r="C160" s="9"/>
      <c r="D160" s="10"/>
      <c r="E160" s="11"/>
      <c r="F160" s="11"/>
      <c r="G160" s="10"/>
      <c r="H160" s="13"/>
      <c r="I160" s="14" t="str">
        <f aca="false">IF(OR($B160="",ISTEXT($B160)),IF($B160="Opening","Opening",""),TEXT($B160,"mmm yyyy"))</f>
        <v/>
      </c>
      <c r="J160" s="15" t="str">
        <f aca="false">IF(AND($E160="",$F160=""),"",SUM($E$8:$E160))</f>
        <v/>
      </c>
      <c r="L160" s="0" t="str">
        <f aca="false">IF($C160="","",COUNTIFS($C$8:$C160,$C160))</f>
        <v/>
      </c>
      <c r="M160" s="0" t="str">
        <f aca="false">IF($C160="","",$C160&amp;"|"&amp;$L160)</f>
        <v/>
      </c>
    </row>
    <row r="161" customFormat="false" ht="19.5" hidden="false" customHeight="true" outlineLevel="0" collapsed="false">
      <c r="A161" s="17" t="str">
        <f aca="false">IF($C161="","",ROW()-7)</f>
        <v/>
      </c>
      <c r="B161" s="19"/>
      <c r="C161" s="19"/>
      <c r="D161" s="20"/>
      <c r="E161" s="21"/>
      <c r="F161" s="21"/>
      <c r="G161" s="20"/>
      <c r="H161" s="23"/>
      <c r="I161" s="24" t="str">
        <f aca="false">IF(OR($B161="",ISTEXT($B161)),IF($B161="Opening","Opening",""),TEXT($B161,"mmm yyyy"))</f>
        <v/>
      </c>
      <c r="J161" s="25" t="str">
        <f aca="false">IF(AND($E161="",$F161=""),"",SUM($E$8:$E161))</f>
        <v/>
      </c>
      <c r="L161" s="0" t="str">
        <f aca="false">IF($C161="","",COUNTIFS($C$8:$C161,$C161))</f>
        <v/>
      </c>
      <c r="M161" s="0" t="str">
        <f aca="false">IF($C161="","",$C161&amp;"|"&amp;$L161)</f>
        <v/>
      </c>
    </row>
    <row r="162" customFormat="false" ht="19.5" hidden="false" customHeight="true" outlineLevel="0" collapsed="false">
      <c r="A162" s="8" t="str">
        <f aca="false">IF($C162="","",ROW()-7)</f>
        <v/>
      </c>
      <c r="B162" s="9"/>
      <c r="C162" s="9"/>
      <c r="D162" s="10"/>
      <c r="E162" s="11"/>
      <c r="F162" s="11"/>
      <c r="G162" s="10"/>
      <c r="H162" s="13"/>
      <c r="I162" s="14" t="str">
        <f aca="false">IF(OR($B162="",ISTEXT($B162)),IF($B162="Opening","Opening",""),TEXT($B162,"mmm yyyy"))</f>
        <v/>
      </c>
      <c r="J162" s="15" t="str">
        <f aca="false">IF(AND($E162="",$F162=""),"",SUM($E$8:$E162))</f>
        <v/>
      </c>
      <c r="L162" s="0" t="str">
        <f aca="false">IF($C162="","",COUNTIFS($C$8:$C162,$C162))</f>
        <v/>
      </c>
      <c r="M162" s="0" t="str">
        <f aca="false">IF($C162="","",$C162&amp;"|"&amp;$L162)</f>
        <v/>
      </c>
    </row>
  </sheetData>
  <autoFilter ref="A7:J162"/>
  <mergeCells count="6">
    <mergeCell ref="A1:J1"/>
    <mergeCell ref="A2:J2"/>
    <mergeCell ref="A4:C4"/>
    <mergeCell ref="D4:E4"/>
    <mergeCell ref="A5:C5"/>
    <mergeCell ref="D5:E5"/>
  </mergeCells>
  <dataValidations count="1">
    <dataValidation allowBlank="true" errorStyle="stop" operator="between" showDropDown="false" showErrorMessage="false" showInputMessage="false" sqref="C8:C162" type="list">
      <formula1>"Gold,Fixed Deposit,Mutual Funds,Stocks,IPO,Real Estate"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A1:Z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5"/>
    <col collapsed="false" customWidth="true" hidden="false" outlineLevel="0" max="4" min="4" style="0" width="44"/>
    <col collapsed="false" customWidth="true" hidden="false" outlineLevel="0" max="5" min="5" style="0" width="3"/>
    <col collapsed="false" customWidth="true" hidden="true" outlineLevel="0" max="26" min="26" style="0" width="13"/>
  </cols>
  <sheetData>
    <row r="1" customFormat="false" ht="30" hidden="false" customHeight="true" outlineLevel="0" collapsed="false">
      <c r="A1" s="29" t="s">
        <v>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Z1" s="16" t="s">
        <v>48</v>
      </c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Z2" s="16" t="s">
        <v>50</v>
      </c>
    </row>
    <row r="3" customFormat="false" ht="15" hidden="false" customHeight="false" outlineLevel="0" collapsed="false">
      <c r="Z3" s="0" t="s">
        <v>51</v>
      </c>
    </row>
    <row r="4" customFormat="false" ht="15" hidden="false" customHeight="false" outlineLevel="0" collapsed="false">
      <c r="A4" s="30" t="s">
        <v>2</v>
      </c>
      <c r="B4" s="30"/>
      <c r="C4" s="30"/>
      <c r="Z4" s="16" t="s">
        <v>52</v>
      </c>
    </row>
    <row r="5" customFormat="false" ht="33.75" hidden="false" customHeight="true" outlineLevel="0" collapsed="false">
      <c r="A5" s="31" t="n">
        <f aca="false">SUM('Investment Log'!$E$8:$E$500)</f>
        <v>1768750</v>
      </c>
      <c r="B5" s="31"/>
      <c r="C5" s="31"/>
      <c r="Z5" s="16" t="s">
        <v>53</v>
      </c>
    </row>
    <row r="6" customFormat="false" ht="19.5" hidden="false" customHeight="true" outlineLevel="0" collapsed="false">
      <c r="A6" s="32" t="str">
        <f aca="false">IF($A$5=0,"","Rupees "&amp;TRIM(IF(INT($A$5/10000000)&gt;0,INDEX($Z$1:$Z$100,INT($A$5/10000000)+1)&amp;" Crore ","")&amp;IF(MOD(INT($A$5/100000),100)&gt;0,INDEX($Z$1:$Z$100,MOD(INT($A$5/100000),100)+1)&amp;" Lakh ","")&amp;IF(MOD(INT($A$5/1000),100)&gt;0,INDEX($Z$1:$Z$100,MOD(INT($A$5/1000),100)+1)&amp;" Thousand ","")&amp;IF(MOD(INT($A$5/100),10)&gt;0,INDEX($Z$1:$Z$100,MOD(INT($A$5/100),10)+1)&amp;" Hundred ","")&amp;IF(MOD($A$5,100)&gt;0,INDEX($Z$1:$Z$100,MOD($A$5,100)+1)&amp;" ",""))&amp;" Only")</f>
        <v>Rupees Seventeen Lakh Sixty Eight Thousand Seven Hundred Fifty Only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Z6" s="16" t="s">
        <v>54</v>
      </c>
    </row>
    <row r="7" customFormat="false" ht="15" hidden="false" customHeight="false" outlineLevel="0" collapsed="false">
      <c r="Z7" s="0" t="s">
        <v>55</v>
      </c>
    </row>
    <row r="8" customFormat="false" ht="15" hidden="false" customHeight="false" outlineLevel="0" collapsed="false">
      <c r="A8" s="33" t="s">
        <v>7</v>
      </c>
      <c r="B8" s="33" t="s">
        <v>56</v>
      </c>
      <c r="C8" s="33" t="s">
        <v>57</v>
      </c>
      <c r="D8" s="33" t="s">
        <v>58</v>
      </c>
      <c r="Z8" s="16" t="s">
        <v>59</v>
      </c>
    </row>
    <row r="9" customFormat="false" ht="15" hidden="false" customHeight="false" outlineLevel="0" collapsed="false">
      <c r="A9" s="34" t="s">
        <v>16</v>
      </c>
      <c r="B9" s="35" t="n">
        <f aca="false">SUMIF('Investment Log'!$C$8:$C$500,$A9,'Investment Log'!$E$8:$E$500)</f>
        <v>420000</v>
      </c>
      <c r="C9" s="36" t="n">
        <f aca="false">IF($A$5=0,0,B9/$A$5)</f>
        <v>0.237455830388693</v>
      </c>
      <c r="D9" s="37" t="str">
        <f aca="false">IF($B9=0,"","Rupees "&amp;TRIM(IF(INT($B9/10000000)&gt;0,INDEX($Z$1:$Z$100,INT($B9/10000000)+1)&amp;" Crore ","")&amp;IF(MOD(INT($B9/100000),100)&gt;0,INDEX($Z$1:$Z$100,MOD(INT($B9/100000),100)+1)&amp;" Lakh ","")&amp;IF(MOD(INT($B9/1000),100)&gt;0,INDEX($Z$1:$Z$100,MOD(INT($B9/1000),100)+1)&amp;" Thousand ","")&amp;IF(MOD(INT($B9/100),10)&gt;0,INDEX($Z$1:$Z$100,MOD(INT($B9/100),10)+1)&amp;" Hundred ","")&amp;IF(MOD($B9,100)&gt;0,INDEX($Z$1:$Z$100,MOD($B9,100)+1)&amp;" ",""))&amp;" Only")</f>
        <v>Rupees Four Lakh Twenty Thousand Only</v>
      </c>
      <c r="Z9" s="16" t="s">
        <v>60</v>
      </c>
    </row>
    <row r="10" customFormat="false" ht="15" hidden="false" customHeight="false" outlineLevel="0" collapsed="false">
      <c r="A10" s="38" t="s">
        <v>29</v>
      </c>
      <c r="B10" s="39" t="n">
        <f aca="false">SUMIF('Investment Log'!$C$8:$C$500,$A10,'Investment Log'!$E$8:$E$500)</f>
        <v>250000</v>
      </c>
      <c r="C10" s="40" t="n">
        <f aca="false">IF($A$5=0,0,B10/$A$5)</f>
        <v>0.141342756183746</v>
      </c>
      <c r="D10" s="37" t="str">
        <f aca="false">IF($B10=0,"","Rupees "&amp;TRIM(IF(INT($B10/10000000)&gt;0,INDEX($Z$1:$Z$100,INT($B10/10000000)+1)&amp;" Crore ","")&amp;IF(MOD(INT($B10/100000),100)&gt;0,INDEX($Z$1:$Z$100,MOD(INT($B10/100000),100)+1)&amp;" Lakh ","")&amp;IF(MOD(INT($B10/1000),100)&gt;0,INDEX($Z$1:$Z$100,MOD(INT($B10/1000),100)+1)&amp;" Thousand ","")&amp;IF(MOD(INT($B10/100),10)&gt;0,INDEX($Z$1:$Z$100,MOD(INT($B10/100),10)+1)&amp;" Hundred ","")&amp;IF(MOD($B10,100)&gt;0,INDEX($Z$1:$Z$100,MOD($B10,100)+1)&amp;" ",""))&amp;" Only")</f>
        <v>Rupees Two Lakh Fifty Thousand Only</v>
      </c>
      <c r="Z10" s="16" t="s">
        <v>61</v>
      </c>
    </row>
    <row r="11" customFormat="false" ht="15" hidden="false" customHeight="false" outlineLevel="0" collapsed="false">
      <c r="A11" s="41" t="s">
        <v>25</v>
      </c>
      <c r="B11" s="35" t="n">
        <f aca="false">SUMIF('Investment Log'!$C$8:$C$500,$A11,'Investment Log'!$E$8:$E$500)</f>
        <v>200000</v>
      </c>
      <c r="C11" s="36" t="n">
        <f aca="false">IF($A$5=0,0,B11/$A$5)</f>
        <v>0.113074204946996</v>
      </c>
      <c r="D11" s="37" t="str">
        <f aca="false">IF($B11=0,"","Rupees "&amp;TRIM(IF(INT($B11/10000000)&gt;0,INDEX($Z$1:$Z$100,INT($B11/10000000)+1)&amp;" Crore ","")&amp;IF(MOD(INT($B11/100000),100)&gt;0,INDEX($Z$1:$Z$100,MOD(INT($B11/100000),100)+1)&amp;" Lakh ","")&amp;IF(MOD(INT($B11/1000),100)&gt;0,INDEX($Z$1:$Z$100,MOD(INT($B11/1000),100)+1)&amp;" Thousand ","")&amp;IF(MOD(INT($B11/100),10)&gt;0,INDEX($Z$1:$Z$100,MOD(INT($B11/100),10)+1)&amp;" Hundred ","")&amp;IF(MOD($B11,100)&gt;0,INDEX($Z$1:$Z$100,MOD($B11,100)+1)&amp;" ",""))&amp;" Only")</f>
        <v>Rupees Two Lakh Only</v>
      </c>
      <c r="Z11" s="16" t="s">
        <v>62</v>
      </c>
    </row>
    <row r="12" customFormat="false" ht="22.35" hidden="false" customHeight="false" outlineLevel="0" collapsed="false">
      <c r="A12" s="42" t="s">
        <v>38</v>
      </c>
      <c r="B12" s="39" t="n">
        <f aca="false">SUMIF('Investment Log'!$C$8:$C$500,$A12,'Investment Log'!$E$8:$E$500)</f>
        <v>118750</v>
      </c>
      <c r="C12" s="40" t="n">
        <f aca="false">IF($A$5=0,0,B12/$A$5)</f>
        <v>0.0671378091872792</v>
      </c>
      <c r="D12" s="37" t="str">
        <f aca="false">IF($B12=0,"","Rupees "&amp;TRIM(IF(INT($B12/10000000)&gt;0,INDEX($Z$1:$Z$100,INT($B12/10000000)+1)&amp;" Crore ","")&amp;IF(MOD(INT($B12/100000),100)&gt;0,INDEX($Z$1:$Z$100,MOD(INT($B12/100000),100)+1)&amp;" Lakh ","")&amp;IF(MOD(INT($B12/1000),100)&gt;0,INDEX($Z$1:$Z$100,MOD(INT($B12/1000),100)+1)&amp;" Thousand ","")&amp;IF(MOD(INT($B12/100),10)&gt;0,INDEX($Z$1:$Z$100,MOD(INT($B12/100),10)+1)&amp;" Hundred ","")&amp;IF(MOD($B12,100)&gt;0,INDEX($Z$1:$Z$100,MOD($B12,100)+1)&amp;" ",""))&amp;" Only")</f>
        <v>Rupees One Lakh Eighteen Thousand Seven Hundred Fifty Only</v>
      </c>
      <c r="Z12" s="16" t="s">
        <v>63</v>
      </c>
    </row>
    <row r="13" customFormat="false" ht="15" hidden="false" customHeight="false" outlineLevel="0" collapsed="false">
      <c r="A13" s="43" t="s">
        <v>42</v>
      </c>
      <c r="B13" s="35" t="n">
        <f aca="false">SUMIF('Investment Log'!$C$8:$C$500,$A13,'Investment Log'!$E$8:$E$500)</f>
        <v>30000</v>
      </c>
      <c r="C13" s="36" t="n">
        <f aca="false">IF($A$5=0,0,B13/$A$5)</f>
        <v>0.0169611307420495</v>
      </c>
      <c r="D13" s="37" t="str">
        <f aca="false">IF($B13=0,"","Rupees "&amp;TRIM(IF(INT($B13/10000000)&gt;0,INDEX($Z$1:$Z$100,INT($B13/10000000)+1)&amp;" Crore ","")&amp;IF(MOD(INT($B13/100000),100)&gt;0,INDEX($Z$1:$Z$100,MOD(INT($B13/100000),100)+1)&amp;" Lakh ","")&amp;IF(MOD(INT($B13/1000),100)&gt;0,INDEX($Z$1:$Z$100,MOD(INT($B13/1000),100)+1)&amp;" Thousand ","")&amp;IF(MOD(INT($B13/100),10)&gt;0,INDEX($Z$1:$Z$100,MOD(INT($B13/100),10)+1)&amp;" Hundred ","")&amp;IF(MOD($B13,100)&gt;0,INDEX($Z$1:$Z$100,MOD($B13,100)+1)&amp;" ",""))&amp;" Only")</f>
        <v>Rupees Thirty Thousand Only</v>
      </c>
      <c r="Z13" s="16" t="s">
        <v>64</v>
      </c>
    </row>
    <row r="14" customFormat="false" ht="15" hidden="false" customHeight="false" outlineLevel="0" collapsed="false">
      <c r="A14" s="44" t="s">
        <v>22</v>
      </c>
      <c r="B14" s="39" t="n">
        <f aca="false">SUMIF('Investment Log'!$C$8:$C$500,$A14,'Investment Log'!$E$8:$E$500)</f>
        <v>750000</v>
      </c>
      <c r="C14" s="40" t="n">
        <f aca="false">IF($A$5=0,0,B14/$A$5)</f>
        <v>0.424028268551237</v>
      </c>
      <c r="D14" s="37" t="str">
        <f aca="false">IF($B14=0,"","Rupees "&amp;TRIM(IF(INT($B14/10000000)&gt;0,INDEX($Z$1:$Z$100,INT($B14/10000000)+1)&amp;" Crore ","")&amp;IF(MOD(INT($B14/100000),100)&gt;0,INDEX($Z$1:$Z$100,MOD(INT($B14/100000),100)+1)&amp;" Lakh ","")&amp;IF(MOD(INT($B14/1000),100)&gt;0,INDEX($Z$1:$Z$100,MOD(INT($B14/1000),100)+1)&amp;" Thousand ","")&amp;IF(MOD(INT($B14/100),10)&gt;0,INDEX($Z$1:$Z$100,MOD(INT($B14/100),10)+1)&amp;" Hundred ","")&amp;IF(MOD($B14,100)&gt;0,INDEX($Z$1:$Z$100,MOD($B14,100)+1)&amp;" ",""))&amp;" Only")</f>
        <v>Rupees Seven Lakh Fifty Thousand Only</v>
      </c>
      <c r="Z14" s="16" t="s">
        <v>65</v>
      </c>
    </row>
    <row r="15" customFormat="false" ht="15" hidden="false" customHeight="false" outlineLevel="0" collapsed="false">
      <c r="A15" s="45" t="s">
        <v>66</v>
      </c>
      <c r="B15" s="46" t="n">
        <f aca="false">SUM(B9:B14)</f>
        <v>1768750</v>
      </c>
      <c r="C15" s="47" t="n">
        <f aca="false">SUM(C9:C14)</f>
        <v>1</v>
      </c>
      <c r="D15" s="48"/>
      <c r="Z15" s="16" t="s">
        <v>67</v>
      </c>
    </row>
    <row r="16" customFormat="false" ht="15" hidden="false" customHeight="false" outlineLevel="0" collapsed="false">
      <c r="Z16" s="0" t="s">
        <v>68</v>
      </c>
    </row>
    <row r="17" customFormat="false" ht="15" hidden="false" customHeight="false" outlineLevel="0" collapsed="false">
      <c r="Z17" s="0" t="s">
        <v>69</v>
      </c>
    </row>
    <row r="18" customFormat="false" ht="15" hidden="false" customHeight="false" outlineLevel="0" collapsed="false">
      <c r="A18" s="33" t="s">
        <v>70</v>
      </c>
      <c r="B18" s="33" t="s">
        <v>71</v>
      </c>
      <c r="C18" s="33" t="s">
        <v>72</v>
      </c>
      <c r="Z18" s="16" t="s">
        <v>73</v>
      </c>
    </row>
    <row r="19" customFormat="false" ht="15" hidden="false" customHeight="false" outlineLevel="0" collapsed="false">
      <c r="A19" s="49" t="s">
        <v>74</v>
      </c>
      <c r="B19" s="35" t="n">
        <f aca="false">SUMIF('Investment Log'!$I$8:$I$500,$A19,'Investment Log'!$E$8:$E$500)</f>
        <v>750000</v>
      </c>
      <c r="C19" s="50" t="n">
        <f aca="false">SUM($B$19:$B19)</f>
        <v>750000</v>
      </c>
      <c r="Z19" s="16" t="s">
        <v>75</v>
      </c>
    </row>
    <row r="20" customFormat="false" ht="15" hidden="false" customHeight="false" outlineLevel="0" collapsed="false">
      <c r="A20" s="51" t="s">
        <v>76</v>
      </c>
      <c r="B20" s="39" t="n">
        <f aca="false">SUMIF('Investment Log'!$I$8:$I$500,$A20,'Investment Log'!$E$8:$E$500)</f>
        <v>0</v>
      </c>
      <c r="C20" s="25" t="n">
        <f aca="false">SUM($B$19:$B20)</f>
        <v>750000</v>
      </c>
      <c r="Z20" s="16" t="s">
        <v>77</v>
      </c>
    </row>
    <row r="21" customFormat="false" ht="15" hidden="false" customHeight="false" outlineLevel="0" collapsed="false">
      <c r="A21" s="49" t="s">
        <v>78</v>
      </c>
      <c r="B21" s="35" t="n">
        <f aca="false">SUMIF('Investment Log'!$I$8:$I$500,$A21,'Investment Log'!$E$8:$E$500)</f>
        <v>350000</v>
      </c>
      <c r="C21" s="50" t="n">
        <f aca="false">SUM($B$19:$B21)</f>
        <v>1100000</v>
      </c>
      <c r="Z21" s="16" t="s">
        <v>79</v>
      </c>
    </row>
    <row r="22" customFormat="false" ht="15" hidden="false" customHeight="false" outlineLevel="0" collapsed="false">
      <c r="A22" s="51" t="s">
        <v>80</v>
      </c>
      <c r="B22" s="39" t="n">
        <f aca="false">SUMIF('Investment Log'!$I$8:$I$500,$A22,'Investment Log'!$E$8:$E$500)</f>
        <v>100000</v>
      </c>
      <c r="C22" s="25" t="n">
        <f aca="false">SUM($B$19:$B22)</f>
        <v>1200000</v>
      </c>
      <c r="Z22" s="16" t="s">
        <v>81</v>
      </c>
    </row>
    <row r="23" customFormat="false" ht="15" hidden="false" customHeight="false" outlineLevel="0" collapsed="false">
      <c r="A23" s="49" t="s">
        <v>82</v>
      </c>
      <c r="B23" s="35" t="n">
        <f aca="false">SUMIF('Investment Log'!$I$8:$I$500,$A23,'Investment Log'!$E$8:$E$500)</f>
        <v>100000</v>
      </c>
      <c r="C23" s="50" t="n">
        <f aca="false">SUM($B$19:$B23)</f>
        <v>1300000</v>
      </c>
      <c r="Z23" s="16" t="s">
        <v>83</v>
      </c>
    </row>
    <row r="24" customFormat="false" ht="15" hidden="false" customHeight="false" outlineLevel="0" collapsed="false">
      <c r="A24" s="51" t="s">
        <v>84</v>
      </c>
      <c r="B24" s="39" t="n">
        <f aca="false">SUMIF('Investment Log'!$I$8:$I$500,$A24,'Investment Log'!$E$8:$E$500)</f>
        <v>50000</v>
      </c>
      <c r="C24" s="25" t="n">
        <f aca="false">SUM($B$19:$B24)</f>
        <v>1350000</v>
      </c>
      <c r="Z24" s="16" t="s">
        <v>85</v>
      </c>
    </row>
    <row r="25" customFormat="false" ht="15" hidden="false" customHeight="false" outlineLevel="0" collapsed="false">
      <c r="A25" s="49" t="s">
        <v>86</v>
      </c>
      <c r="B25" s="35" t="n">
        <f aca="false">SUMIF('Investment Log'!$I$8:$I$500,$A25,'Investment Log'!$E$8:$E$500)</f>
        <v>120000</v>
      </c>
      <c r="C25" s="50" t="n">
        <f aca="false">SUM($B$19:$B25)</f>
        <v>1470000</v>
      </c>
      <c r="Z25" s="16" t="s">
        <v>87</v>
      </c>
    </row>
    <row r="26" customFormat="false" ht="15" hidden="false" customHeight="false" outlineLevel="0" collapsed="false">
      <c r="A26" s="51" t="s">
        <v>88</v>
      </c>
      <c r="B26" s="39" t="n">
        <f aca="false">SUMIF('Investment Log'!$I$8:$I$500,$A26,'Investment Log'!$E$8:$E$500)</f>
        <v>20000</v>
      </c>
      <c r="C26" s="25" t="n">
        <f aca="false">SUM($B$19:$B26)</f>
        <v>1490000</v>
      </c>
      <c r="Z26" s="16" t="s">
        <v>89</v>
      </c>
    </row>
    <row r="27" customFormat="false" ht="15" hidden="false" customHeight="false" outlineLevel="0" collapsed="false">
      <c r="A27" s="49" t="s">
        <v>90</v>
      </c>
      <c r="B27" s="35" t="n">
        <f aca="false">SUMIF('Investment Log'!$I$8:$I$500,$A27,'Investment Log'!$E$8:$E$500)</f>
        <v>278750</v>
      </c>
      <c r="C27" s="50" t="n">
        <f aca="false">SUM($B$19:$B27)</f>
        <v>1768750</v>
      </c>
      <c r="Z27" s="16" t="s">
        <v>91</v>
      </c>
    </row>
    <row r="28" customFormat="false" ht="15" hidden="false" customHeight="false" outlineLevel="0" collapsed="false">
      <c r="A28" s="51" t="s">
        <v>92</v>
      </c>
      <c r="B28" s="39" t="n">
        <f aca="false">SUMIF('Investment Log'!$I$8:$I$500,$A28,'Investment Log'!$E$8:$E$500)</f>
        <v>0</v>
      </c>
      <c r="C28" s="25" t="n">
        <f aca="false">SUM($B$19:$B28)</f>
        <v>1768750</v>
      </c>
      <c r="Z28" s="16" t="s">
        <v>93</v>
      </c>
    </row>
    <row r="29" customFormat="false" ht="15" hidden="false" customHeight="false" outlineLevel="0" collapsed="false">
      <c r="A29" s="49" t="s">
        <v>94</v>
      </c>
      <c r="B29" s="35" t="n">
        <f aca="false">SUMIF('Investment Log'!$I$8:$I$500,$A29,'Investment Log'!$E$8:$E$500)</f>
        <v>0</v>
      </c>
      <c r="C29" s="50" t="n">
        <f aca="false">SUM($B$19:$B29)</f>
        <v>1768750</v>
      </c>
      <c r="Z29" s="16" t="s">
        <v>95</v>
      </c>
    </row>
    <row r="30" customFormat="false" ht="15" hidden="false" customHeight="false" outlineLevel="0" collapsed="false">
      <c r="A30" s="51" t="s">
        <v>96</v>
      </c>
      <c r="B30" s="39" t="n">
        <f aca="false">SUMIF('Investment Log'!$I$8:$I$500,$A30,'Investment Log'!$E$8:$E$500)</f>
        <v>0</v>
      </c>
      <c r="C30" s="25" t="n">
        <f aca="false">SUM($B$19:$B30)</f>
        <v>1768750</v>
      </c>
      <c r="Z30" s="16" t="s">
        <v>97</v>
      </c>
    </row>
    <row r="31" customFormat="false" ht="15" hidden="false" customHeight="false" outlineLevel="0" collapsed="false">
      <c r="A31" s="49" t="s">
        <v>98</v>
      </c>
      <c r="B31" s="35" t="n">
        <f aca="false">SUMIF('Investment Log'!$I$8:$I$500,$A31,'Investment Log'!$E$8:$E$500)</f>
        <v>0</v>
      </c>
      <c r="C31" s="50" t="n">
        <f aca="false">SUM($B$19:$B31)</f>
        <v>1768750</v>
      </c>
      <c r="Z31" s="16" t="s">
        <v>99</v>
      </c>
    </row>
    <row r="32" customFormat="false" ht="15" hidden="false" customHeight="false" outlineLevel="0" collapsed="false">
      <c r="Z32" s="0" t="s">
        <v>100</v>
      </c>
    </row>
    <row r="33" customFormat="false" ht="15" hidden="false" customHeight="false" outlineLevel="0" collapsed="false">
      <c r="Z33" s="0" t="s">
        <v>101</v>
      </c>
    </row>
    <row r="34" customFormat="false" ht="15" hidden="false" customHeight="false" outlineLevel="0" collapsed="false">
      <c r="Z34" s="0" t="s">
        <v>102</v>
      </c>
    </row>
    <row r="35" customFormat="false" ht="15" hidden="false" customHeight="false" outlineLevel="0" collapsed="false">
      <c r="Z35" s="0" t="s">
        <v>103</v>
      </c>
    </row>
    <row r="36" customFormat="false" ht="15" hidden="false" customHeight="false" outlineLevel="0" collapsed="false">
      <c r="Z36" s="0" t="s">
        <v>104</v>
      </c>
    </row>
    <row r="37" customFormat="false" ht="15" hidden="false" customHeight="false" outlineLevel="0" collapsed="false">
      <c r="Z37" s="0" t="s">
        <v>105</v>
      </c>
    </row>
    <row r="38" customFormat="false" ht="15" hidden="false" customHeight="false" outlineLevel="0" collapsed="false">
      <c r="Z38" s="0" t="s">
        <v>106</v>
      </c>
    </row>
    <row r="39" customFormat="false" ht="15" hidden="false" customHeight="false" outlineLevel="0" collapsed="false">
      <c r="Z39" s="0" t="s">
        <v>107</v>
      </c>
    </row>
    <row r="40" customFormat="false" ht="15" hidden="false" customHeight="false" outlineLevel="0" collapsed="false">
      <c r="Z40" s="0" t="s">
        <v>108</v>
      </c>
    </row>
    <row r="41" customFormat="false" ht="15" hidden="false" customHeight="false" outlineLevel="0" collapsed="false">
      <c r="Z41" s="0" t="s">
        <v>109</v>
      </c>
    </row>
    <row r="42" customFormat="false" ht="15" hidden="false" customHeight="false" outlineLevel="0" collapsed="false">
      <c r="Z42" s="0" t="s">
        <v>110</v>
      </c>
    </row>
    <row r="43" customFormat="false" ht="15" hidden="false" customHeight="false" outlineLevel="0" collapsed="false">
      <c r="Z43" s="0" t="s">
        <v>111</v>
      </c>
    </row>
    <row r="44" customFormat="false" ht="15" hidden="false" customHeight="false" outlineLevel="0" collapsed="false">
      <c r="Z44" s="0" t="s">
        <v>112</v>
      </c>
    </row>
    <row r="45" customFormat="false" ht="15" hidden="false" customHeight="false" outlineLevel="0" collapsed="false">
      <c r="Z45" s="0" t="s">
        <v>113</v>
      </c>
    </row>
    <row r="46" customFormat="false" ht="15" hidden="false" customHeight="false" outlineLevel="0" collapsed="false">
      <c r="Z46" s="0" t="s">
        <v>114</v>
      </c>
    </row>
    <row r="47" customFormat="false" ht="15" hidden="false" customHeight="false" outlineLevel="0" collapsed="false">
      <c r="Z47" s="0" t="s">
        <v>115</v>
      </c>
    </row>
    <row r="48" customFormat="false" ht="15" hidden="false" customHeight="false" outlineLevel="0" collapsed="false">
      <c r="Z48" s="0" t="s">
        <v>116</v>
      </c>
    </row>
    <row r="49" customFormat="false" ht="15" hidden="false" customHeight="false" outlineLevel="0" collapsed="false">
      <c r="Z49" s="0" t="s">
        <v>117</v>
      </c>
    </row>
    <row r="50" customFormat="false" ht="15" hidden="false" customHeight="false" outlineLevel="0" collapsed="false">
      <c r="Z50" s="0" t="s">
        <v>118</v>
      </c>
    </row>
    <row r="51" customFormat="false" ht="15" hidden="false" customHeight="false" outlineLevel="0" collapsed="false">
      <c r="Z51" s="0" t="s">
        <v>119</v>
      </c>
    </row>
    <row r="52" customFormat="false" ht="15" hidden="false" customHeight="false" outlineLevel="0" collapsed="false">
      <c r="Z52" s="0" t="s">
        <v>120</v>
      </c>
    </row>
    <row r="53" customFormat="false" ht="15" hidden="false" customHeight="false" outlineLevel="0" collapsed="false">
      <c r="Z53" s="0" t="s">
        <v>121</v>
      </c>
    </row>
    <row r="54" customFormat="false" ht="15" hidden="false" customHeight="false" outlineLevel="0" collapsed="false">
      <c r="Z54" s="0" t="s">
        <v>122</v>
      </c>
    </row>
    <row r="55" customFormat="false" ht="15" hidden="false" customHeight="false" outlineLevel="0" collapsed="false">
      <c r="Z55" s="0" t="s">
        <v>123</v>
      </c>
    </row>
    <row r="56" customFormat="false" ht="15" hidden="false" customHeight="false" outlineLevel="0" collapsed="false">
      <c r="Z56" s="0" t="s">
        <v>124</v>
      </c>
    </row>
    <row r="57" customFormat="false" ht="15" hidden="false" customHeight="false" outlineLevel="0" collapsed="false">
      <c r="Z57" s="0" t="s">
        <v>125</v>
      </c>
    </row>
    <row r="58" customFormat="false" ht="15" hidden="false" customHeight="false" outlineLevel="0" collapsed="false">
      <c r="Z58" s="0" t="s">
        <v>126</v>
      </c>
    </row>
    <row r="59" customFormat="false" ht="15" hidden="false" customHeight="false" outlineLevel="0" collapsed="false">
      <c r="Z59" s="0" t="s">
        <v>127</v>
      </c>
    </row>
    <row r="60" customFormat="false" ht="15" hidden="false" customHeight="false" outlineLevel="0" collapsed="false">
      <c r="Z60" s="0" t="s">
        <v>128</v>
      </c>
    </row>
    <row r="61" customFormat="false" ht="15" hidden="false" customHeight="false" outlineLevel="0" collapsed="false">
      <c r="Z61" s="0" t="s">
        <v>129</v>
      </c>
    </row>
    <row r="62" customFormat="false" ht="15" hidden="false" customHeight="false" outlineLevel="0" collapsed="false">
      <c r="Z62" s="0" t="s">
        <v>130</v>
      </c>
    </row>
    <row r="63" customFormat="false" ht="15" hidden="false" customHeight="false" outlineLevel="0" collapsed="false">
      <c r="Z63" s="0" t="s">
        <v>131</v>
      </c>
    </row>
    <row r="64" customFormat="false" ht="15" hidden="false" customHeight="false" outlineLevel="0" collapsed="false">
      <c r="Z64" s="0" t="s">
        <v>132</v>
      </c>
    </row>
    <row r="65" customFormat="false" ht="15" hidden="false" customHeight="false" outlineLevel="0" collapsed="false">
      <c r="Z65" s="0" t="s">
        <v>133</v>
      </c>
    </row>
    <row r="66" customFormat="false" ht="15" hidden="false" customHeight="false" outlineLevel="0" collapsed="false">
      <c r="Z66" s="0" t="s">
        <v>134</v>
      </c>
    </row>
    <row r="67" customFormat="false" ht="15" hidden="false" customHeight="false" outlineLevel="0" collapsed="false">
      <c r="Z67" s="0" t="s">
        <v>135</v>
      </c>
    </row>
    <row r="68" customFormat="false" ht="15" hidden="false" customHeight="false" outlineLevel="0" collapsed="false">
      <c r="Z68" s="0" t="s">
        <v>136</v>
      </c>
    </row>
    <row r="69" customFormat="false" ht="15" hidden="false" customHeight="false" outlineLevel="0" collapsed="false">
      <c r="Z69" s="0" t="s">
        <v>137</v>
      </c>
    </row>
    <row r="70" customFormat="false" ht="15" hidden="false" customHeight="false" outlineLevel="0" collapsed="false">
      <c r="Z70" s="0" t="s">
        <v>138</v>
      </c>
    </row>
    <row r="71" customFormat="false" ht="15" hidden="false" customHeight="false" outlineLevel="0" collapsed="false">
      <c r="Z71" s="0" t="s">
        <v>139</v>
      </c>
    </row>
    <row r="72" customFormat="false" ht="15" hidden="false" customHeight="false" outlineLevel="0" collapsed="false">
      <c r="Z72" s="0" t="s">
        <v>140</v>
      </c>
    </row>
    <row r="73" customFormat="false" ht="15" hidden="false" customHeight="false" outlineLevel="0" collapsed="false">
      <c r="Z73" s="0" t="s">
        <v>141</v>
      </c>
    </row>
    <row r="74" customFormat="false" ht="15" hidden="false" customHeight="false" outlineLevel="0" collapsed="false">
      <c r="Z74" s="0" t="s">
        <v>142</v>
      </c>
    </row>
    <row r="75" customFormat="false" ht="15" hidden="false" customHeight="false" outlineLevel="0" collapsed="false">
      <c r="Z75" s="0" t="s">
        <v>143</v>
      </c>
    </row>
    <row r="76" customFormat="false" ht="15" hidden="false" customHeight="false" outlineLevel="0" collapsed="false">
      <c r="Z76" s="0" t="s">
        <v>144</v>
      </c>
    </row>
    <row r="77" customFormat="false" ht="15" hidden="false" customHeight="false" outlineLevel="0" collapsed="false">
      <c r="Z77" s="0" t="s">
        <v>145</v>
      </c>
    </row>
    <row r="78" customFormat="false" ht="15" hidden="false" customHeight="false" outlineLevel="0" collapsed="false">
      <c r="Z78" s="0" t="s">
        <v>146</v>
      </c>
    </row>
    <row r="79" customFormat="false" ht="15" hidden="false" customHeight="false" outlineLevel="0" collapsed="false">
      <c r="Z79" s="0" t="s">
        <v>147</v>
      </c>
    </row>
    <row r="80" customFormat="false" ht="15" hidden="false" customHeight="false" outlineLevel="0" collapsed="false">
      <c r="Z80" s="0" t="s">
        <v>148</v>
      </c>
    </row>
    <row r="81" customFormat="false" ht="15" hidden="false" customHeight="false" outlineLevel="0" collapsed="false">
      <c r="Z81" s="0" t="s">
        <v>149</v>
      </c>
    </row>
    <row r="82" customFormat="false" ht="15" hidden="false" customHeight="false" outlineLevel="0" collapsed="false">
      <c r="Z82" s="0" t="s">
        <v>150</v>
      </c>
    </row>
    <row r="83" customFormat="false" ht="15" hidden="false" customHeight="false" outlineLevel="0" collapsed="false">
      <c r="Z83" s="0" t="s">
        <v>151</v>
      </c>
    </row>
    <row r="84" customFormat="false" ht="15" hidden="false" customHeight="false" outlineLevel="0" collapsed="false">
      <c r="Z84" s="0" t="s">
        <v>152</v>
      </c>
    </row>
    <row r="85" customFormat="false" ht="15" hidden="false" customHeight="false" outlineLevel="0" collapsed="false">
      <c r="Z85" s="0" t="s">
        <v>153</v>
      </c>
    </row>
    <row r="86" customFormat="false" ht="15" hidden="false" customHeight="false" outlineLevel="0" collapsed="false">
      <c r="Z86" s="0" t="s">
        <v>154</v>
      </c>
    </row>
    <row r="87" customFormat="false" ht="15" hidden="false" customHeight="false" outlineLevel="0" collapsed="false">
      <c r="Z87" s="0" t="s">
        <v>155</v>
      </c>
    </row>
    <row r="88" customFormat="false" ht="15" hidden="false" customHeight="false" outlineLevel="0" collapsed="false">
      <c r="Z88" s="0" t="s">
        <v>156</v>
      </c>
    </row>
    <row r="89" customFormat="false" ht="15" hidden="false" customHeight="false" outlineLevel="0" collapsed="false">
      <c r="Z89" s="0" t="s">
        <v>157</v>
      </c>
    </row>
    <row r="90" customFormat="false" ht="15" hidden="false" customHeight="false" outlineLevel="0" collapsed="false">
      <c r="Z90" s="0" t="s">
        <v>158</v>
      </c>
    </row>
    <row r="91" customFormat="false" ht="15" hidden="false" customHeight="false" outlineLevel="0" collapsed="false">
      <c r="Z91" s="0" t="s">
        <v>159</v>
      </c>
    </row>
    <row r="92" customFormat="false" ht="15" hidden="false" customHeight="false" outlineLevel="0" collapsed="false">
      <c r="Z92" s="0" t="s">
        <v>160</v>
      </c>
    </row>
    <row r="93" customFormat="false" ht="15" hidden="false" customHeight="false" outlineLevel="0" collapsed="false">
      <c r="Z93" s="0" t="s">
        <v>161</v>
      </c>
    </row>
    <row r="94" customFormat="false" ht="15" hidden="false" customHeight="false" outlineLevel="0" collapsed="false">
      <c r="Z94" s="0" t="s">
        <v>162</v>
      </c>
    </row>
    <row r="95" customFormat="false" ht="15" hidden="false" customHeight="false" outlineLevel="0" collapsed="false">
      <c r="Z95" s="0" t="s">
        <v>163</v>
      </c>
    </row>
    <row r="96" customFormat="false" ht="15" hidden="false" customHeight="false" outlineLevel="0" collapsed="false">
      <c r="Z96" s="0" t="s">
        <v>164</v>
      </c>
    </row>
    <row r="97" customFormat="false" ht="15" hidden="false" customHeight="false" outlineLevel="0" collapsed="false">
      <c r="Z97" s="0" t="s">
        <v>165</v>
      </c>
    </row>
    <row r="98" customFormat="false" ht="15" hidden="false" customHeight="false" outlineLevel="0" collapsed="false">
      <c r="Z98" s="0" t="s">
        <v>166</v>
      </c>
    </row>
    <row r="99" customFormat="false" ht="15" hidden="false" customHeight="false" outlineLevel="0" collapsed="false">
      <c r="Z99" s="0" t="s">
        <v>167</v>
      </c>
    </row>
    <row r="100" customFormat="false" ht="15" hidden="false" customHeight="false" outlineLevel="0" collapsed="false">
      <c r="Z100" s="0" t="s">
        <v>168</v>
      </c>
    </row>
  </sheetData>
  <mergeCells count="5">
    <mergeCell ref="A1:M1"/>
    <mergeCell ref="A2:M2"/>
    <mergeCell ref="A4:C4"/>
    <mergeCell ref="A5:C5"/>
    <mergeCell ref="A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true" outlineLevel="0" max="10" min="10" style="0" width="13"/>
  </cols>
  <sheetData>
    <row r="1" customFormat="false" ht="27.75" hidden="false" customHeight="true" outlineLevel="0" collapsed="false">
      <c r="A1" s="52" t="s">
        <v>169</v>
      </c>
      <c r="B1" s="52"/>
      <c r="C1" s="52"/>
      <c r="D1" s="52"/>
      <c r="E1" s="52"/>
      <c r="F1" s="52"/>
      <c r="G1" s="52"/>
      <c r="H1" s="52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  <c r="G2" s="2"/>
      <c r="H2" s="2"/>
    </row>
    <row r="4" customFormat="false" ht="15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4" hidden="false" customHeight="true" outlineLevel="0" collapsed="false">
      <c r="A5" s="53" t="n">
        <f aca="false">SUMIF('Investment Log'!$C$8:$C$500,"Gold",'Investment Log'!$E$8:$E$500)</f>
        <v>420000</v>
      </c>
      <c r="B5" s="54" t="n">
        <f aca="false">SUMIF('Investment Log'!$C$8:$C$500,"Gold",'Investment Log'!$F$8:$F$500)</f>
        <v>137.5</v>
      </c>
      <c r="C5" s="55" t="n">
        <f aca="false">COUNTIF('Investment Log'!$C$8:$C$500,"Gold")</f>
        <v>7</v>
      </c>
    </row>
    <row r="7" customFormat="false" ht="27.75" hidden="false" customHeight="true" outlineLevel="0" collapsed="false">
      <c r="A7" s="7" t="s">
        <v>6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171</v>
      </c>
      <c r="H7" s="7" t="s">
        <v>172</v>
      </c>
    </row>
    <row r="8" customFormat="false" ht="18" hidden="false" customHeight="true" outlineLevel="0" collapsed="false">
      <c r="A8" s="56" t="str">
        <f aca="false">IF($J8="","",INDEX('Investment Log'!$B:$B,$J8))</f>
        <v>Opening</v>
      </c>
      <c r="B8" s="57" t="str">
        <f aca="false">IF($J8="","",T(INDEX('Investment Log'!$D:$D,$J8)))</f>
        <v>Existing holding (opening)</v>
      </c>
      <c r="C8" s="58" t="n">
        <f aca="false">IF($J8="","",INDEX('Investment Log'!$E:$E,$J8))</f>
        <v>0</v>
      </c>
      <c r="D8" s="59" t="n">
        <f aca="false">IF($J8="","",INDEX('Investment Log'!$F:$F,$J8))</f>
        <v>84.2</v>
      </c>
      <c r="E8" s="10" t="str">
        <f aca="false">IF($J8="","",T(INDEX('Investment Log'!$G:$G,$J8)))</f>
        <v>—</v>
      </c>
      <c r="F8" s="10" t="str">
        <f aca="false">IF($J8="","",T(INDEX('Investment Log'!$H:$H,$J8)))</f>
        <v>Opening balance, pre-2025. Purchase cost not recorded.</v>
      </c>
      <c r="G8" s="60" t="n">
        <f aca="false">IF($J8="","",SUM($D$8:$D8))</f>
        <v>84.2</v>
      </c>
      <c r="H8" s="15" t="n">
        <f aca="false">IF($J8="","",SUM($C$8:$C8))</f>
        <v>0</v>
      </c>
      <c r="J8" s="16" t="n">
        <f aca="false">IFERROR(MATCH("Gold|"&amp;1,'Investment Log'!$M$8:$M$500,0)+7,"")</f>
        <v>8</v>
      </c>
    </row>
    <row r="9" customFormat="false" ht="18" hidden="false" customHeight="true" outlineLevel="0" collapsed="false">
      <c r="A9" s="61" t="n">
        <f aca="false">IF($J9="","",INDEX('Investment Log'!$B:$B,$J9))</f>
        <v>45658</v>
      </c>
      <c r="B9" s="51" t="str">
        <f aca="false">IF($J9="","",T(INDEX('Investment Log'!$D:$D,$J9)))</f>
        <v/>
      </c>
      <c r="C9" s="62" t="n">
        <f aca="false">IF($J9="","",INDEX('Investment Log'!$E:$E,$J9))</f>
        <v>0</v>
      </c>
      <c r="D9" s="63" t="n">
        <f aca="false">IF($J9="","",INDEX('Investment Log'!$F:$F,$J9))</f>
        <v>12.9</v>
      </c>
      <c r="E9" s="20" t="str">
        <f aca="false">IF($J9="","",T(INDEX('Investment Log'!$G:$G,$J9)))</f>
        <v>—</v>
      </c>
      <c r="F9" s="20" t="str">
        <f aca="false">IF($J9="","",T(INDEX('Investment Log'!$H:$H,$J9)))</f>
        <v>Bought 12.9 g. ₹ not recorded. Day not specified.</v>
      </c>
      <c r="G9" s="64" t="n">
        <f aca="false">IF($J9="","",SUM($D$8:$D9))</f>
        <v>97.1</v>
      </c>
      <c r="H9" s="25" t="n">
        <f aca="false">IF($J9="","",SUM($C$8:$C9))</f>
        <v>0</v>
      </c>
      <c r="J9" s="16" t="n">
        <f aca="false">IFERROR(MATCH("Gold|"&amp;2,'Investment Log'!$M$8:$M$500,0)+7,"")</f>
        <v>9</v>
      </c>
    </row>
    <row r="10" customFormat="false" ht="18" hidden="false" customHeight="true" outlineLevel="0" collapsed="false">
      <c r="A10" s="56" t="n">
        <f aca="false">IF($J10="","",INDEX('Investment Log'!$B:$B,$J10))</f>
        <v>45717</v>
      </c>
      <c r="B10" s="57" t="str">
        <f aca="false">IF($J10="","",T(INDEX('Investment Log'!$D:$D,$J10)))</f>
        <v/>
      </c>
      <c r="C10" s="58" t="n">
        <f aca="false">IF($J10="","",INDEX('Investment Log'!$E:$E,$J10))</f>
        <v>0</v>
      </c>
      <c r="D10" s="59" t="n">
        <f aca="false">IF($J10="","",INDEX('Investment Log'!$F:$F,$J10))</f>
        <v>10.9</v>
      </c>
      <c r="E10" s="10" t="str">
        <f aca="false">IF($J10="","",T(INDEX('Investment Log'!$G:$G,$J10)))</f>
        <v>—</v>
      </c>
      <c r="F10" s="10" t="str">
        <f aca="false">IF($J10="","",T(INDEX('Investment Log'!$H:$H,$J10)))</f>
        <v>Bought 10.9 g. ₹ not recorded. Day not specified.</v>
      </c>
      <c r="G10" s="60" t="n">
        <f aca="false">IF($J10="","",SUM($D$8:$D10))</f>
        <v>108</v>
      </c>
      <c r="H10" s="15" t="n">
        <f aca="false">IF($J10="","",SUM($C$8:$C10))</f>
        <v>0</v>
      </c>
      <c r="J10" s="16" t="n">
        <f aca="false">IFERROR(MATCH("Gold|"&amp;3,'Investment Log'!$M$8:$M$500,0)+7,"")</f>
        <v>10</v>
      </c>
    </row>
    <row r="11" customFormat="false" ht="18" hidden="false" customHeight="true" outlineLevel="0" collapsed="false">
      <c r="A11" s="61" t="n">
        <f aca="false">IF($J11="","",INDEX('Investment Log'!$B:$B,$J11))</f>
        <v>46082</v>
      </c>
      <c r="B11" s="51" t="str">
        <f aca="false">IF($J11="","",T(INDEX('Investment Log'!$D:$D,$J11)))</f>
        <v/>
      </c>
      <c r="C11" s="62" t="n">
        <f aca="false">IF($J11="","",INDEX('Investment Log'!$E:$E,$J11))</f>
        <v>100000</v>
      </c>
      <c r="D11" s="63" t="n">
        <f aca="false">IF($J11="","",INDEX('Investment Log'!$F:$F,$J11))</f>
        <v>6.62</v>
      </c>
      <c r="E11" s="20" t="str">
        <f aca="false">IF($J11="","",T(INDEX('Investment Log'!$G:$G,$J11)))</f>
        <v>—</v>
      </c>
      <c r="F11" s="20" t="str">
        <f aca="false">IF($J11="","",T(INDEX('Investment Log'!$H:$H,$J11)))</f>
        <v>₹1L → 6.62 g. Day not specified.</v>
      </c>
      <c r="G11" s="64" t="n">
        <f aca="false">IF($J11="","",SUM($D$8:$D11))</f>
        <v>114.62</v>
      </c>
      <c r="H11" s="25" t="n">
        <f aca="false">IF($J11="","",SUM($C$8:$C11))</f>
        <v>100000</v>
      </c>
      <c r="J11" s="16" t="n">
        <f aca="false">IFERROR(MATCH("Gold|"&amp;4,'Investment Log'!$M$8:$M$500,0)+7,"")</f>
        <v>14</v>
      </c>
    </row>
    <row r="12" customFormat="false" ht="18" hidden="false" customHeight="true" outlineLevel="0" collapsed="false">
      <c r="A12" s="56" t="n">
        <f aca="false">IF($J12="","",INDEX('Investment Log'!$B:$B,$J12))</f>
        <v>46113</v>
      </c>
      <c r="B12" s="57" t="str">
        <f aca="false">IF($J12="","",T(INDEX('Investment Log'!$D:$D,$J12)))</f>
        <v/>
      </c>
      <c r="C12" s="58" t="n">
        <f aca="false">IF($J12="","",INDEX('Investment Log'!$E:$E,$J12))</f>
        <v>100000</v>
      </c>
      <c r="D12" s="59" t="n">
        <f aca="false">IF($J12="","",INDEX('Investment Log'!$F:$F,$J12))</f>
        <v>6.58</v>
      </c>
      <c r="E12" s="10" t="str">
        <f aca="false">IF($J12="","",T(INDEX('Investment Log'!$G:$G,$J12)))</f>
        <v>—</v>
      </c>
      <c r="F12" s="10" t="str">
        <f aca="false">IF($J12="","",T(INDEX('Investment Log'!$H:$H,$J12)))</f>
        <v>₹1L → 6.58 g. Day not specified.</v>
      </c>
      <c r="G12" s="60" t="n">
        <f aca="false">IF($J12="","",SUM($D$8:$D12))</f>
        <v>121.2</v>
      </c>
      <c r="H12" s="15" t="n">
        <f aca="false">IF($J12="","",SUM($C$8:$C12))</f>
        <v>200000</v>
      </c>
      <c r="J12" s="16" t="n">
        <f aca="false">IFERROR(MATCH("Gold|"&amp;5,'Investment Log'!$M$8:$M$500,0)+7,"")</f>
        <v>15</v>
      </c>
    </row>
    <row r="13" customFormat="false" ht="18" hidden="false" customHeight="true" outlineLevel="0" collapsed="false">
      <c r="A13" s="61" t="n">
        <f aca="false">IF($J13="","",INDEX('Investment Log'!$B:$B,$J13))</f>
        <v>46174</v>
      </c>
      <c r="B13" s="51" t="str">
        <f aca="false">IF($J13="","",T(INDEX('Investment Log'!$D:$D,$J13)))</f>
        <v/>
      </c>
      <c r="C13" s="62" t="n">
        <f aca="false">IF($J13="","",INDEX('Investment Log'!$E:$E,$J13))</f>
        <v>120000</v>
      </c>
      <c r="D13" s="63" t="n">
        <f aca="false">IF($J13="","",INDEX('Investment Log'!$F:$F,$J13))</f>
        <v>10</v>
      </c>
      <c r="E13" s="20" t="str">
        <f aca="false">IF($J13="","",T(INDEX('Investment Log'!$G:$G,$J13)))</f>
        <v>—</v>
      </c>
      <c r="F13" s="20" t="str">
        <f aca="false">IF($J13="","",T(INDEX('Investment Log'!$H:$H,$J13)))</f>
        <v>₹1.2L → 10 g. Day not specified.</v>
      </c>
      <c r="G13" s="64" t="n">
        <f aca="false">IF($J13="","",SUM($D$8:$D13))</f>
        <v>131.2</v>
      </c>
      <c r="H13" s="25" t="n">
        <f aca="false">IF($J13="","",SUM($C$8:$C13))</f>
        <v>320000</v>
      </c>
      <c r="J13" s="16" t="n">
        <f aca="false">IFERROR(MATCH("Gold|"&amp;6,'Investment Log'!$M$8:$M$500,0)+7,"")</f>
        <v>17</v>
      </c>
    </row>
    <row r="14" customFormat="false" ht="18" hidden="false" customHeight="true" outlineLevel="0" collapsed="false">
      <c r="A14" s="56" t="n">
        <f aca="false">IF($J14="","",INDEX('Investment Log'!$B:$B,$J14))</f>
        <v>46237</v>
      </c>
      <c r="B14" s="57" t="str">
        <f aca="false">IF($J14="","",T(INDEX('Investment Log'!$D:$D,$J14)))</f>
        <v/>
      </c>
      <c r="C14" s="58" t="n">
        <f aca="false">IF($J14="","",INDEX('Investment Log'!$E:$E,$J14))</f>
        <v>100000</v>
      </c>
      <c r="D14" s="59" t="n">
        <f aca="false">IF($J14="","",INDEX('Investment Log'!$F:$F,$J14))</f>
        <v>6.3</v>
      </c>
      <c r="E14" s="10" t="str">
        <f aca="false">IF($J14="","",T(INDEX('Investment Log'!$G:$G,$J14)))</f>
        <v>—</v>
      </c>
      <c r="F14" s="10" t="str">
        <f aca="false">IF($J14="","",T(INDEX('Investment Log'!$H:$H,$J14)))</f>
        <v>₹1L → 6.3 g. Date assumed = 3 Aug.</v>
      </c>
      <c r="G14" s="60" t="n">
        <f aca="false">IF($J14="","",SUM($D$8:$D14))</f>
        <v>137.5</v>
      </c>
      <c r="H14" s="15" t="n">
        <f aca="false">IF($J14="","",SUM($C$8:$C14))</f>
        <v>420000</v>
      </c>
      <c r="J14" s="16" t="n">
        <f aca="false">IFERROR(MATCH("Gold|"&amp;7,'Investment Log'!$M$8:$M$500,0)+7,"")</f>
        <v>21</v>
      </c>
    </row>
    <row r="15" customFormat="false" ht="18" hidden="false" customHeight="true" outlineLevel="0" collapsed="false">
      <c r="A15" s="61" t="str">
        <f aca="false">IF($J15="","",INDEX('Investment Log'!$B:$B,$J15))</f>
        <v/>
      </c>
      <c r="B15" s="51" t="str">
        <f aca="false">IF($J15="","",T(INDEX('Investment Log'!$D:$D,$J15)))</f>
        <v/>
      </c>
      <c r="C15" s="62" t="str">
        <f aca="false">IF($J15="","",INDEX('Investment Log'!$E:$E,$J15))</f>
        <v/>
      </c>
      <c r="D15" s="63" t="str">
        <f aca="false">IF($J15="","",INDEX('Investment Log'!$F:$F,$J15))</f>
        <v/>
      </c>
      <c r="E15" s="20" t="str">
        <f aca="false">IF($J15="","",T(INDEX('Investment Log'!$G:$G,$J15)))</f>
        <v/>
      </c>
      <c r="F15" s="20" t="str">
        <f aca="false">IF($J15="","",T(INDEX('Investment Log'!$H:$H,$J15)))</f>
        <v/>
      </c>
      <c r="G15" s="64" t="str">
        <f aca="false">IF($J15="","",SUM($D$8:$D15))</f>
        <v/>
      </c>
      <c r="H15" s="25" t="str">
        <f aca="false">IF($J15="","",SUM($C$8:$C15))</f>
        <v/>
      </c>
      <c r="J15" s="0" t="str">
        <f aca="false">IFERROR(MATCH("Gold|"&amp;8,'Investment Log'!$M$8:$M$500,0)+7,"")</f>
        <v/>
      </c>
    </row>
    <row r="16" customFormat="false" ht="18" hidden="false" customHeight="true" outlineLevel="0" collapsed="false">
      <c r="A16" s="56" t="str">
        <f aca="false">IF($J16="","",INDEX('Investment Log'!$B:$B,$J16))</f>
        <v/>
      </c>
      <c r="B16" s="57" t="str">
        <f aca="false">IF($J16="","",T(INDEX('Investment Log'!$D:$D,$J16)))</f>
        <v/>
      </c>
      <c r="C16" s="58" t="str">
        <f aca="false">IF($J16="","",INDEX('Investment Log'!$E:$E,$J16))</f>
        <v/>
      </c>
      <c r="D16" s="59" t="str">
        <f aca="false">IF($J16="","",INDEX('Investment Log'!$F:$F,$J16))</f>
        <v/>
      </c>
      <c r="E16" s="10" t="str">
        <f aca="false">IF($J16="","",T(INDEX('Investment Log'!$G:$G,$J16)))</f>
        <v/>
      </c>
      <c r="F16" s="10" t="str">
        <f aca="false">IF($J16="","",T(INDEX('Investment Log'!$H:$H,$J16)))</f>
        <v/>
      </c>
      <c r="G16" s="60" t="str">
        <f aca="false">IF($J16="","",SUM($D$8:$D16))</f>
        <v/>
      </c>
      <c r="H16" s="15" t="str">
        <f aca="false">IF($J16="","",SUM($C$8:$C16))</f>
        <v/>
      </c>
      <c r="J16" s="0" t="str">
        <f aca="false">IFERROR(MATCH("Gold|"&amp;9,'Investment Log'!$M$8:$M$500,0)+7,"")</f>
        <v/>
      </c>
    </row>
    <row r="17" customFormat="false" ht="18" hidden="false" customHeight="true" outlineLevel="0" collapsed="false">
      <c r="A17" s="61" t="str">
        <f aca="false">IF($J17="","",INDEX('Investment Log'!$B:$B,$J17))</f>
        <v/>
      </c>
      <c r="B17" s="51" t="str">
        <f aca="false">IF($J17="","",T(INDEX('Investment Log'!$D:$D,$J17)))</f>
        <v/>
      </c>
      <c r="C17" s="62" t="str">
        <f aca="false">IF($J17="","",INDEX('Investment Log'!$E:$E,$J17))</f>
        <v/>
      </c>
      <c r="D17" s="63" t="str">
        <f aca="false">IF($J17="","",INDEX('Investment Log'!$F:$F,$J17))</f>
        <v/>
      </c>
      <c r="E17" s="20" t="str">
        <f aca="false">IF($J17="","",T(INDEX('Investment Log'!$G:$G,$J17)))</f>
        <v/>
      </c>
      <c r="F17" s="20" t="str">
        <f aca="false">IF($J17="","",T(INDEX('Investment Log'!$H:$H,$J17)))</f>
        <v/>
      </c>
      <c r="G17" s="64" t="str">
        <f aca="false">IF($J17="","",SUM($D$8:$D17))</f>
        <v/>
      </c>
      <c r="H17" s="25" t="str">
        <f aca="false">IF($J17="","",SUM($C$8:$C17))</f>
        <v/>
      </c>
      <c r="J17" s="0" t="str">
        <f aca="false">IFERROR(MATCH("Gold|"&amp;10,'Investment Log'!$M$8:$M$500,0)+7,"")</f>
        <v/>
      </c>
    </row>
    <row r="18" customFormat="false" ht="18" hidden="false" customHeight="true" outlineLevel="0" collapsed="false">
      <c r="A18" s="56" t="str">
        <f aca="false">IF($J18="","",INDEX('Investment Log'!$B:$B,$J18))</f>
        <v/>
      </c>
      <c r="B18" s="57" t="str">
        <f aca="false">IF($J18="","",T(INDEX('Investment Log'!$D:$D,$J18)))</f>
        <v/>
      </c>
      <c r="C18" s="58" t="str">
        <f aca="false">IF($J18="","",INDEX('Investment Log'!$E:$E,$J18))</f>
        <v/>
      </c>
      <c r="D18" s="59" t="str">
        <f aca="false">IF($J18="","",INDEX('Investment Log'!$F:$F,$J18))</f>
        <v/>
      </c>
      <c r="E18" s="10" t="str">
        <f aca="false">IF($J18="","",T(INDEX('Investment Log'!$G:$G,$J18)))</f>
        <v/>
      </c>
      <c r="F18" s="10" t="str">
        <f aca="false">IF($J18="","",T(INDEX('Investment Log'!$H:$H,$J18)))</f>
        <v/>
      </c>
      <c r="G18" s="60" t="str">
        <f aca="false">IF($J18="","",SUM($D$8:$D18))</f>
        <v/>
      </c>
      <c r="H18" s="15" t="str">
        <f aca="false">IF($J18="","",SUM($C$8:$C18))</f>
        <v/>
      </c>
      <c r="J18" s="0" t="str">
        <f aca="false">IFERROR(MATCH("Gold|"&amp;11,'Investment Log'!$M$8:$M$500,0)+7,"")</f>
        <v/>
      </c>
    </row>
    <row r="19" customFormat="false" ht="18" hidden="false" customHeight="true" outlineLevel="0" collapsed="false">
      <c r="A19" s="61" t="str">
        <f aca="false">IF($J19="","",INDEX('Investment Log'!$B:$B,$J19))</f>
        <v/>
      </c>
      <c r="B19" s="51" t="str">
        <f aca="false">IF($J19="","",T(INDEX('Investment Log'!$D:$D,$J19)))</f>
        <v/>
      </c>
      <c r="C19" s="62" t="str">
        <f aca="false">IF($J19="","",INDEX('Investment Log'!$E:$E,$J19))</f>
        <v/>
      </c>
      <c r="D19" s="63" t="str">
        <f aca="false">IF($J19="","",INDEX('Investment Log'!$F:$F,$J19))</f>
        <v/>
      </c>
      <c r="E19" s="20" t="str">
        <f aca="false">IF($J19="","",T(INDEX('Investment Log'!$G:$G,$J19)))</f>
        <v/>
      </c>
      <c r="F19" s="20" t="str">
        <f aca="false">IF($J19="","",T(INDEX('Investment Log'!$H:$H,$J19)))</f>
        <v/>
      </c>
      <c r="G19" s="64" t="str">
        <f aca="false">IF($J19="","",SUM($D$8:$D19))</f>
        <v/>
      </c>
      <c r="H19" s="25" t="str">
        <f aca="false">IF($J19="","",SUM($C$8:$C19))</f>
        <v/>
      </c>
      <c r="J19" s="0" t="str">
        <f aca="false">IFERROR(MATCH("Gold|"&amp;12,'Investment Log'!$M$8:$M$500,0)+7,"")</f>
        <v/>
      </c>
    </row>
    <row r="20" customFormat="false" ht="18" hidden="false" customHeight="true" outlineLevel="0" collapsed="false">
      <c r="A20" s="56" t="str">
        <f aca="false">IF($J20="","",INDEX('Investment Log'!$B:$B,$J20))</f>
        <v/>
      </c>
      <c r="B20" s="57" t="str">
        <f aca="false">IF($J20="","",T(INDEX('Investment Log'!$D:$D,$J20)))</f>
        <v/>
      </c>
      <c r="C20" s="58" t="str">
        <f aca="false">IF($J20="","",INDEX('Investment Log'!$E:$E,$J20))</f>
        <v/>
      </c>
      <c r="D20" s="59" t="str">
        <f aca="false">IF($J20="","",INDEX('Investment Log'!$F:$F,$J20))</f>
        <v/>
      </c>
      <c r="E20" s="10" t="str">
        <f aca="false">IF($J20="","",T(INDEX('Investment Log'!$G:$G,$J20)))</f>
        <v/>
      </c>
      <c r="F20" s="10" t="str">
        <f aca="false">IF($J20="","",T(INDEX('Investment Log'!$H:$H,$J20)))</f>
        <v/>
      </c>
      <c r="G20" s="60" t="str">
        <f aca="false">IF($J20="","",SUM($D$8:$D20))</f>
        <v/>
      </c>
      <c r="H20" s="15" t="str">
        <f aca="false">IF($J20="","",SUM($C$8:$C20))</f>
        <v/>
      </c>
      <c r="J20" s="0" t="str">
        <f aca="false">IFERROR(MATCH("Gold|"&amp;13,'Investment Log'!$M$8:$M$500,0)+7,"")</f>
        <v/>
      </c>
    </row>
    <row r="21" customFormat="false" ht="18" hidden="false" customHeight="true" outlineLevel="0" collapsed="false">
      <c r="A21" s="61" t="str">
        <f aca="false">IF($J21="","",INDEX('Investment Log'!$B:$B,$J21))</f>
        <v/>
      </c>
      <c r="B21" s="51" t="str">
        <f aca="false">IF($J21="","",T(INDEX('Investment Log'!$D:$D,$J21)))</f>
        <v/>
      </c>
      <c r="C21" s="62" t="str">
        <f aca="false">IF($J21="","",INDEX('Investment Log'!$E:$E,$J21))</f>
        <v/>
      </c>
      <c r="D21" s="63" t="str">
        <f aca="false">IF($J21="","",INDEX('Investment Log'!$F:$F,$J21))</f>
        <v/>
      </c>
      <c r="E21" s="20" t="str">
        <f aca="false">IF($J21="","",T(INDEX('Investment Log'!$G:$G,$J21)))</f>
        <v/>
      </c>
      <c r="F21" s="20" t="str">
        <f aca="false">IF($J21="","",T(INDEX('Investment Log'!$H:$H,$J21)))</f>
        <v/>
      </c>
      <c r="G21" s="64" t="str">
        <f aca="false">IF($J21="","",SUM($D$8:$D21))</f>
        <v/>
      </c>
      <c r="H21" s="25" t="str">
        <f aca="false">IF($J21="","",SUM($C$8:$C21))</f>
        <v/>
      </c>
      <c r="J21" s="0" t="str">
        <f aca="false">IFERROR(MATCH("Gold|"&amp;14,'Investment Log'!$M$8:$M$500,0)+7,"")</f>
        <v/>
      </c>
    </row>
    <row r="22" customFormat="false" ht="18" hidden="false" customHeight="true" outlineLevel="0" collapsed="false">
      <c r="A22" s="56" t="str">
        <f aca="false">IF($J22="","",INDEX('Investment Log'!$B:$B,$J22))</f>
        <v/>
      </c>
      <c r="B22" s="57" t="str">
        <f aca="false">IF($J22="","",T(INDEX('Investment Log'!$D:$D,$J22)))</f>
        <v/>
      </c>
      <c r="C22" s="58" t="str">
        <f aca="false">IF($J22="","",INDEX('Investment Log'!$E:$E,$J22))</f>
        <v/>
      </c>
      <c r="D22" s="59" t="str">
        <f aca="false">IF($J22="","",INDEX('Investment Log'!$F:$F,$J22))</f>
        <v/>
      </c>
      <c r="E22" s="10" t="str">
        <f aca="false">IF($J22="","",T(INDEX('Investment Log'!$G:$G,$J22)))</f>
        <v/>
      </c>
      <c r="F22" s="10" t="str">
        <f aca="false">IF($J22="","",T(INDEX('Investment Log'!$H:$H,$J22)))</f>
        <v/>
      </c>
      <c r="G22" s="60" t="str">
        <f aca="false">IF($J22="","",SUM($D$8:$D22))</f>
        <v/>
      </c>
      <c r="H22" s="15" t="str">
        <f aca="false">IF($J22="","",SUM($C$8:$C22))</f>
        <v/>
      </c>
      <c r="J22" s="0" t="str">
        <f aca="false">IFERROR(MATCH("Gold|"&amp;15,'Investment Log'!$M$8:$M$500,0)+7,"")</f>
        <v/>
      </c>
    </row>
    <row r="23" customFormat="false" ht="18" hidden="false" customHeight="true" outlineLevel="0" collapsed="false">
      <c r="A23" s="61" t="str">
        <f aca="false">IF($J23="","",INDEX('Investment Log'!$B:$B,$J23))</f>
        <v/>
      </c>
      <c r="B23" s="51" t="str">
        <f aca="false">IF($J23="","",T(INDEX('Investment Log'!$D:$D,$J23)))</f>
        <v/>
      </c>
      <c r="C23" s="62" t="str">
        <f aca="false">IF($J23="","",INDEX('Investment Log'!$E:$E,$J23))</f>
        <v/>
      </c>
      <c r="D23" s="63" t="str">
        <f aca="false">IF($J23="","",INDEX('Investment Log'!$F:$F,$J23))</f>
        <v/>
      </c>
      <c r="E23" s="20" t="str">
        <f aca="false">IF($J23="","",T(INDEX('Investment Log'!$G:$G,$J23)))</f>
        <v/>
      </c>
      <c r="F23" s="20" t="str">
        <f aca="false">IF($J23="","",T(INDEX('Investment Log'!$H:$H,$J23)))</f>
        <v/>
      </c>
      <c r="G23" s="64" t="str">
        <f aca="false">IF($J23="","",SUM($D$8:$D23))</f>
        <v/>
      </c>
      <c r="H23" s="25" t="str">
        <f aca="false">IF($J23="","",SUM($C$8:$C23))</f>
        <v/>
      </c>
      <c r="J23" s="0" t="str">
        <f aca="false">IFERROR(MATCH("Gold|"&amp;16,'Investment Log'!$M$8:$M$500,0)+7,"")</f>
        <v/>
      </c>
    </row>
    <row r="24" customFormat="false" ht="18" hidden="false" customHeight="true" outlineLevel="0" collapsed="false">
      <c r="A24" s="56" t="str">
        <f aca="false">IF($J24="","",INDEX('Investment Log'!$B:$B,$J24))</f>
        <v/>
      </c>
      <c r="B24" s="57" t="str">
        <f aca="false">IF($J24="","",T(INDEX('Investment Log'!$D:$D,$J24)))</f>
        <v/>
      </c>
      <c r="C24" s="58" t="str">
        <f aca="false">IF($J24="","",INDEX('Investment Log'!$E:$E,$J24))</f>
        <v/>
      </c>
      <c r="D24" s="59" t="str">
        <f aca="false">IF($J24="","",INDEX('Investment Log'!$F:$F,$J24))</f>
        <v/>
      </c>
      <c r="E24" s="10" t="str">
        <f aca="false">IF($J24="","",T(INDEX('Investment Log'!$G:$G,$J24)))</f>
        <v/>
      </c>
      <c r="F24" s="10" t="str">
        <f aca="false">IF($J24="","",T(INDEX('Investment Log'!$H:$H,$J24)))</f>
        <v/>
      </c>
      <c r="G24" s="60" t="str">
        <f aca="false">IF($J24="","",SUM($D$8:$D24))</f>
        <v/>
      </c>
      <c r="H24" s="15" t="str">
        <f aca="false">IF($J24="","",SUM($C$8:$C24))</f>
        <v/>
      </c>
      <c r="J24" s="0" t="str">
        <f aca="false">IFERROR(MATCH("Gold|"&amp;17,'Investment Log'!$M$8:$M$500,0)+7,"")</f>
        <v/>
      </c>
    </row>
    <row r="25" customFormat="false" ht="18" hidden="false" customHeight="true" outlineLevel="0" collapsed="false">
      <c r="A25" s="61" t="str">
        <f aca="false">IF($J25="","",INDEX('Investment Log'!$B:$B,$J25))</f>
        <v/>
      </c>
      <c r="B25" s="51" t="str">
        <f aca="false">IF($J25="","",T(INDEX('Investment Log'!$D:$D,$J25)))</f>
        <v/>
      </c>
      <c r="C25" s="62" t="str">
        <f aca="false">IF($J25="","",INDEX('Investment Log'!$E:$E,$J25))</f>
        <v/>
      </c>
      <c r="D25" s="63" t="str">
        <f aca="false">IF($J25="","",INDEX('Investment Log'!$F:$F,$J25))</f>
        <v/>
      </c>
      <c r="E25" s="20" t="str">
        <f aca="false">IF($J25="","",T(INDEX('Investment Log'!$G:$G,$J25)))</f>
        <v/>
      </c>
      <c r="F25" s="20" t="str">
        <f aca="false">IF($J25="","",T(INDEX('Investment Log'!$H:$H,$J25)))</f>
        <v/>
      </c>
      <c r="G25" s="64" t="str">
        <f aca="false">IF($J25="","",SUM($D$8:$D25))</f>
        <v/>
      </c>
      <c r="H25" s="25" t="str">
        <f aca="false">IF($J25="","",SUM($C$8:$C25))</f>
        <v/>
      </c>
      <c r="J25" s="0" t="str">
        <f aca="false">IFERROR(MATCH("Gold|"&amp;18,'Investment Log'!$M$8:$M$500,0)+7,"")</f>
        <v/>
      </c>
    </row>
    <row r="26" customFormat="false" ht="18" hidden="false" customHeight="true" outlineLevel="0" collapsed="false">
      <c r="A26" s="56" t="str">
        <f aca="false">IF($J26="","",INDEX('Investment Log'!$B:$B,$J26))</f>
        <v/>
      </c>
      <c r="B26" s="57" t="str">
        <f aca="false">IF($J26="","",T(INDEX('Investment Log'!$D:$D,$J26)))</f>
        <v/>
      </c>
      <c r="C26" s="58" t="str">
        <f aca="false">IF($J26="","",INDEX('Investment Log'!$E:$E,$J26))</f>
        <v/>
      </c>
      <c r="D26" s="59" t="str">
        <f aca="false">IF($J26="","",INDEX('Investment Log'!$F:$F,$J26))</f>
        <v/>
      </c>
      <c r="E26" s="10" t="str">
        <f aca="false">IF($J26="","",T(INDEX('Investment Log'!$G:$G,$J26)))</f>
        <v/>
      </c>
      <c r="F26" s="10" t="str">
        <f aca="false">IF($J26="","",T(INDEX('Investment Log'!$H:$H,$J26)))</f>
        <v/>
      </c>
      <c r="G26" s="60" t="str">
        <f aca="false">IF($J26="","",SUM($D$8:$D26))</f>
        <v/>
      </c>
      <c r="H26" s="15" t="str">
        <f aca="false">IF($J26="","",SUM($C$8:$C26))</f>
        <v/>
      </c>
      <c r="J26" s="0" t="str">
        <f aca="false">IFERROR(MATCH("Gold|"&amp;19,'Investment Log'!$M$8:$M$500,0)+7,"")</f>
        <v/>
      </c>
    </row>
    <row r="27" customFormat="false" ht="18" hidden="false" customHeight="true" outlineLevel="0" collapsed="false">
      <c r="A27" s="61" t="str">
        <f aca="false">IF($J27="","",INDEX('Investment Log'!$B:$B,$J27))</f>
        <v/>
      </c>
      <c r="B27" s="51" t="str">
        <f aca="false">IF($J27="","",T(INDEX('Investment Log'!$D:$D,$J27)))</f>
        <v/>
      </c>
      <c r="C27" s="62" t="str">
        <f aca="false">IF($J27="","",INDEX('Investment Log'!$E:$E,$J27))</f>
        <v/>
      </c>
      <c r="D27" s="63" t="str">
        <f aca="false">IF($J27="","",INDEX('Investment Log'!$F:$F,$J27))</f>
        <v/>
      </c>
      <c r="E27" s="20" t="str">
        <f aca="false">IF($J27="","",T(INDEX('Investment Log'!$G:$G,$J27)))</f>
        <v/>
      </c>
      <c r="F27" s="20" t="str">
        <f aca="false">IF($J27="","",T(INDEX('Investment Log'!$H:$H,$J27)))</f>
        <v/>
      </c>
      <c r="G27" s="64" t="str">
        <f aca="false">IF($J27="","",SUM($D$8:$D27))</f>
        <v/>
      </c>
      <c r="H27" s="25" t="str">
        <f aca="false">IF($J27="","",SUM($C$8:$C27))</f>
        <v/>
      </c>
      <c r="J27" s="0" t="str">
        <f aca="false">IFERROR(MATCH("Gold|"&amp;20,'Investment Log'!$M$8:$M$500,0)+7,"")</f>
        <v/>
      </c>
    </row>
    <row r="28" customFormat="false" ht="18" hidden="false" customHeight="true" outlineLevel="0" collapsed="false">
      <c r="A28" s="56" t="str">
        <f aca="false">IF($J28="","",INDEX('Investment Log'!$B:$B,$J28))</f>
        <v/>
      </c>
      <c r="B28" s="57" t="str">
        <f aca="false">IF($J28="","",T(INDEX('Investment Log'!$D:$D,$J28)))</f>
        <v/>
      </c>
      <c r="C28" s="58" t="str">
        <f aca="false">IF($J28="","",INDEX('Investment Log'!$E:$E,$J28))</f>
        <v/>
      </c>
      <c r="D28" s="59" t="str">
        <f aca="false">IF($J28="","",INDEX('Investment Log'!$F:$F,$J28))</f>
        <v/>
      </c>
      <c r="E28" s="10" t="str">
        <f aca="false">IF($J28="","",T(INDEX('Investment Log'!$G:$G,$J28)))</f>
        <v/>
      </c>
      <c r="F28" s="10" t="str">
        <f aca="false">IF($J28="","",T(INDEX('Investment Log'!$H:$H,$J28)))</f>
        <v/>
      </c>
      <c r="G28" s="60" t="str">
        <f aca="false">IF($J28="","",SUM($D$8:$D28))</f>
        <v/>
      </c>
      <c r="H28" s="15" t="str">
        <f aca="false">IF($J28="","",SUM($C$8:$C28))</f>
        <v/>
      </c>
      <c r="J28" s="0" t="str">
        <f aca="false">IFERROR(MATCH("Gold|"&amp;21,'Investment Log'!$M$8:$M$500,0)+7,"")</f>
        <v/>
      </c>
    </row>
    <row r="29" customFormat="false" ht="18" hidden="false" customHeight="true" outlineLevel="0" collapsed="false">
      <c r="A29" s="61" t="str">
        <f aca="false">IF($J29="","",INDEX('Investment Log'!$B:$B,$J29))</f>
        <v/>
      </c>
      <c r="B29" s="51" t="str">
        <f aca="false">IF($J29="","",T(INDEX('Investment Log'!$D:$D,$J29)))</f>
        <v/>
      </c>
      <c r="C29" s="62" t="str">
        <f aca="false">IF($J29="","",INDEX('Investment Log'!$E:$E,$J29))</f>
        <v/>
      </c>
      <c r="D29" s="63" t="str">
        <f aca="false">IF($J29="","",INDEX('Investment Log'!$F:$F,$J29))</f>
        <v/>
      </c>
      <c r="E29" s="20" t="str">
        <f aca="false">IF($J29="","",T(INDEX('Investment Log'!$G:$G,$J29)))</f>
        <v/>
      </c>
      <c r="F29" s="20" t="str">
        <f aca="false">IF($J29="","",T(INDEX('Investment Log'!$H:$H,$J29)))</f>
        <v/>
      </c>
      <c r="G29" s="64" t="str">
        <f aca="false">IF($J29="","",SUM($D$8:$D29))</f>
        <v/>
      </c>
      <c r="H29" s="25" t="str">
        <f aca="false">IF($J29="","",SUM($C$8:$C29))</f>
        <v/>
      </c>
      <c r="J29" s="0" t="str">
        <f aca="false">IFERROR(MATCH("Gold|"&amp;22,'Investment Log'!$M$8:$M$500,0)+7,"")</f>
        <v/>
      </c>
    </row>
    <row r="30" customFormat="false" ht="18" hidden="false" customHeight="true" outlineLevel="0" collapsed="false">
      <c r="A30" s="56" t="str">
        <f aca="false">IF($J30="","",INDEX('Investment Log'!$B:$B,$J30))</f>
        <v/>
      </c>
      <c r="B30" s="57" t="str">
        <f aca="false">IF($J30="","",T(INDEX('Investment Log'!$D:$D,$J30)))</f>
        <v/>
      </c>
      <c r="C30" s="58" t="str">
        <f aca="false">IF($J30="","",INDEX('Investment Log'!$E:$E,$J30))</f>
        <v/>
      </c>
      <c r="D30" s="59" t="str">
        <f aca="false">IF($J30="","",INDEX('Investment Log'!$F:$F,$J30))</f>
        <v/>
      </c>
      <c r="E30" s="10" t="str">
        <f aca="false">IF($J30="","",T(INDEX('Investment Log'!$G:$G,$J30)))</f>
        <v/>
      </c>
      <c r="F30" s="10" t="str">
        <f aca="false">IF($J30="","",T(INDEX('Investment Log'!$H:$H,$J30)))</f>
        <v/>
      </c>
      <c r="G30" s="60" t="str">
        <f aca="false">IF($J30="","",SUM($D$8:$D30))</f>
        <v/>
      </c>
      <c r="H30" s="15" t="str">
        <f aca="false">IF($J30="","",SUM($C$8:$C30))</f>
        <v/>
      </c>
      <c r="J30" s="0" t="str">
        <f aca="false">IFERROR(MATCH("Gold|"&amp;23,'Investment Log'!$M$8:$M$500,0)+7,"")</f>
        <v/>
      </c>
    </row>
    <row r="31" customFormat="false" ht="18" hidden="false" customHeight="true" outlineLevel="0" collapsed="false">
      <c r="A31" s="61" t="str">
        <f aca="false">IF($J31="","",INDEX('Investment Log'!$B:$B,$J31))</f>
        <v/>
      </c>
      <c r="B31" s="51" t="str">
        <f aca="false">IF($J31="","",T(INDEX('Investment Log'!$D:$D,$J31)))</f>
        <v/>
      </c>
      <c r="C31" s="62" t="str">
        <f aca="false">IF($J31="","",INDEX('Investment Log'!$E:$E,$J31))</f>
        <v/>
      </c>
      <c r="D31" s="63" t="str">
        <f aca="false">IF($J31="","",INDEX('Investment Log'!$F:$F,$J31))</f>
        <v/>
      </c>
      <c r="E31" s="20" t="str">
        <f aca="false">IF($J31="","",T(INDEX('Investment Log'!$G:$G,$J31)))</f>
        <v/>
      </c>
      <c r="F31" s="20" t="str">
        <f aca="false">IF($J31="","",T(INDEX('Investment Log'!$H:$H,$J31)))</f>
        <v/>
      </c>
      <c r="G31" s="64" t="str">
        <f aca="false">IF($J31="","",SUM($D$8:$D31))</f>
        <v/>
      </c>
      <c r="H31" s="25" t="str">
        <f aca="false">IF($J31="","",SUM($C$8:$C31))</f>
        <v/>
      </c>
      <c r="J31" s="0" t="str">
        <f aca="false">IFERROR(MATCH("Gold|"&amp;24,'Investment Log'!$M$8:$M$500,0)+7,"")</f>
        <v/>
      </c>
    </row>
    <row r="32" customFormat="false" ht="18" hidden="false" customHeight="true" outlineLevel="0" collapsed="false">
      <c r="A32" s="56" t="str">
        <f aca="false">IF($J32="","",INDEX('Investment Log'!$B:$B,$J32))</f>
        <v/>
      </c>
      <c r="B32" s="57" t="str">
        <f aca="false">IF($J32="","",T(INDEX('Investment Log'!$D:$D,$J32)))</f>
        <v/>
      </c>
      <c r="C32" s="58" t="str">
        <f aca="false">IF($J32="","",INDEX('Investment Log'!$E:$E,$J32))</f>
        <v/>
      </c>
      <c r="D32" s="59" t="str">
        <f aca="false">IF($J32="","",INDEX('Investment Log'!$F:$F,$J32))</f>
        <v/>
      </c>
      <c r="E32" s="10" t="str">
        <f aca="false">IF($J32="","",T(INDEX('Investment Log'!$G:$G,$J32)))</f>
        <v/>
      </c>
      <c r="F32" s="10" t="str">
        <f aca="false">IF($J32="","",T(INDEX('Investment Log'!$H:$H,$J32)))</f>
        <v/>
      </c>
      <c r="G32" s="60" t="str">
        <f aca="false">IF($J32="","",SUM($D$8:$D32))</f>
        <v/>
      </c>
      <c r="H32" s="15" t="str">
        <f aca="false">IF($J32="","",SUM($C$8:$C32))</f>
        <v/>
      </c>
      <c r="J32" s="0" t="str">
        <f aca="false">IFERROR(MATCH("Gold|"&amp;25,'Investment Log'!$M$8:$M$500,0)+7,"")</f>
        <v/>
      </c>
    </row>
    <row r="33" customFormat="false" ht="18" hidden="false" customHeight="true" outlineLevel="0" collapsed="false">
      <c r="A33" s="61" t="str">
        <f aca="false">IF($J33="","",INDEX('Investment Log'!$B:$B,$J33))</f>
        <v/>
      </c>
      <c r="B33" s="51" t="str">
        <f aca="false">IF($J33="","",T(INDEX('Investment Log'!$D:$D,$J33)))</f>
        <v/>
      </c>
      <c r="C33" s="62" t="str">
        <f aca="false">IF($J33="","",INDEX('Investment Log'!$E:$E,$J33))</f>
        <v/>
      </c>
      <c r="D33" s="63" t="str">
        <f aca="false">IF($J33="","",INDEX('Investment Log'!$F:$F,$J33))</f>
        <v/>
      </c>
      <c r="E33" s="20" t="str">
        <f aca="false">IF($J33="","",T(INDEX('Investment Log'!$G:$G,$J33)))</f>
        <v/>
      </c>
      <c r="F33" s="20" t="str">
        <f aca="false">IF($J33="","",T(INDEX('Investment Log'!$H:$H,$J33)))</f>
        <v/>
      </c>
      <c r="G33" s="64" t="str">
        <f aca="false">IF($J33="","",SUM($D$8:$D33))</f>
        <v/>
      </c>
      <c r="H33" s="25" t="str">
        <f aca="false">IF($J33="","",SUM($C$8:$C33))</f>
        <v/>
      </c>
      <c r="J33" s="0" t="str">
        <f aca="false">IFERROR(MATCH("Gold|"&amp;26,'Investment Log'!$M$8:$M$500,0)+7,"")</f>
        <v/>
      </c>
    </row>
    <row r="34" customFormat="false" ht="18" hidden="false" customHeight="true" outlineLevel="0" collapsed="false">
      <c r="A34" s="56" t="str">
        <f aca="false">IF($J34="","",INDEX('Investment Log'!$B:$B,$J34))</f>
        <v/>
      </c>
      <c r="B34" s="57" t="str">
        <f aca="false">IF($J34="","",T(INDEX('Investment Log'!$D:$D,$J34)))</f>
        <v/>
      </c>
      <c r="C34" s="58" t="str">
        <f aca="false">IF($J34="","",INDEX('Investment Log'!$E:$E,$J34))</f>
        <v/>
      </c>
      <c r="D34" s="59" t="str">
        <f aca="false">IF($J34="","",INDEX('Investment Log'!$F:$F,$J34))</f>
        <v/>
      </c>
      <c r="E34" s="10" t="str">
        <f aca="false">IF($J34="","",T(INDEX('Investment Log'!$G:$G,$J34)))</f>
        <v/>
      </c>
      <c r="F34" s="10" t="str">
        <f aca="false">IF($J34="","",T(INDEX('Investment Log'!$H:$H,$J34)))</f>
        <v/>
      </c>
      <c r="G34" s="60" t="str">
        <f aca="false">IF($J34="","",SUM($D$8:$D34))</f>
        <v/>
      </c>
      <c r="H34" s="15" t="str">
        <f aca="false">IF($J34="","",SUM($C$8:$C34))</f>
        <v/>
      </c>
      <c r="J34" s="0" t="str">
        <f aca="false">IFERROR(MATCH("Gold|"&amp;27,'Investment Log'!$M$8:$M$500,0)+7,"")</f>
        <v/>
      </c>
    </row>
    <row r="35" customFormat="false" ht="18" hidden="false" customHeight="true" outlineLevel="0" collapsed="false">
      <c r="A35" s="61" t="str">
        <f aca="false">IF($J35="","",INDEX('Investment Log'!$B:$B,$J35))</f>
        <v/>
      </c>
      <c r="B35" s="51" t="str">
        <f aca="false">IF($J35="","",T(INDEX('Investment Log'!$D:$D,$J35)))</f>
        <v/>
      </c>
      <c r="C35" s="62" t="str">
        <f aca="false">IF($J35="","",INDEX('Investment Log'!$E:$E,$J35))</f>
        <v/>
      </c>
      <c r="D35" s="63" t="str">
        <f aca="false">IF($J35="","",INDEX('Investment Log'!$F:$F,$J35))</f>
        <v/>
      </c>
      <c r="E35" s="20" t="str">
        <f aca="false">IF($J35="","",T(INDEX('Investment Log'!$G:$G,$J35)))</f>
        <v/>
      </c>
      <c r="F35" s="20" t="str">
        <f aca="false">IF($J35="","",T(INDEX('Investment Log'!$H:$H,$J35)))</f>
        <v/>
      </c>
      <c r="G35" s="64" t="str">
        <f aca="false">IF($J35="","",SUM($D$8:$D35))</f>
        <v/>
      </c>
      <c r="H35" s="25" t="str">
        <f aca="false">IF($J35="","",SUM($C$8:$C35))</f>
        <v/>
      </c>
      <c r="J35" s="0" t="str">
        <f aca="false">IFERROR(MATCH("Gold|"&amp;28,'Investment Log'!$M$8:$M$500,0)+7,"")</f>
        <v/>
      </c>
    </row>
    <row r="36" customFormat="false" ht="18" hidden="false" customHeight="true" outlineLevel="0" collapsed="false">
      <c r="A36" s="56" t="str">
        <f aca="false">IF($J36="","",INDEX('Investment Log'!$B:$B,$J36))</f>
        <v/>
      </c>
      <c r="B36" s="57" t="str">
        <f aca="false">IF($J36="","",T(INDEX('Investment Log'!$D:$D,$J36)))</f>
        <v/>
      </c>
      <c r="C36" s="58" t="str">
        <f aca="false">IF($J36="","",INDEX('Investment Log'!$E:$E,$J36))</f>
        <v/>
      </c>
      <c r="D36" s="59" t="str">
        <f aca="false">IF($J36="","",INDEX('Investment Log'!$F:$F,$J36))</f>
        <v/>
      </c>
      <c r="E36" s="10" t="str">
        <f aca="false">IF($J36="","",T(INDEX('Investment Log'!$G:$G,$J36)))</f>
        <v/>
      </c>
      <c r="F36" s="10" t="str">
        <f aca="false">IF($J36="","",T(INDEX('Investment Log'!$H:$H,$J36)))</f>
        <v/>
      </c>
      <c r="G36" s="60" t="str">
        <f aca="false">IF($J36="","",SUM($D$8:$D36))</f>
        <v/>
      </c>
      <c r="H36" s="15" t="str">
        <f aca="false">IF($J36="","",SUM($C$8:$C36))</f>
        <v/>
      </c>
      <c r="J36" s="0" t="str">
        <f aca="false">IFERROR(MATCH("Gold|"&amp;29,'Investment Log'!$M$8:$M$500,0)+7,"")</f>
        <v/>
      </c>
    </row>
    <row r="37" customFormat="false" ht="18" hidden="false" customHeight="true" outlineLevel="0" collapsed="false">
      <c r="A37" s="61" t="str">
        <f aca="false">IF($J37="","",INDEX('Investment Log'!$B:$B,$J37))</f>
        <v/>
      </c>
      <c r="B37" s="51" t="str">
        <f aca="false">IF($J37="","",T(INDEX('Investment Log'!$D:$D,$J37)))</f>
        <v/>
      </c>
      <c r="C37" s="62" t="str">
        <f aca="false">IF($J37="","",INDEX('Investment Log'!$E:$E,$J37))</f>
        <v/>
      </c>
      <c r="D37" s="63" t="str">
        <f aca="false">IF($J37="","",INDEX('Investment Log'!$F:$F,$J37))</f>
        <v/>
      </c>
      <c r="E37" s="20" t="str">
        <f aca="false">IF($J37="","",T(INDEX('Investment Log'!$G:$G,$J37)))</f>
        <v/>
      </c>
      <c r="F37" s="20" t="str">
        <f aca="false">IF($J37="","",T(INDEX('Investment Log'!$H:$H,$J37)))</f>
        <v/>
      </c>
      <c r="G37" s="64" t="str">
        <f aca="false">IF($J37="","",SUM($D$8:$D37))</f>
        <v/>
      </c>
      <c r="H37" s="25" t="str">
        <f aca="false">IF($J37="","",SUM($C$8:$C37))</f>
        <v/>
      </c>
      <c r="J37" s="0" t="str">
        <f aca="false">IFERROR(MATCH("Gold|"&amp;30,'Investment Log'!$M$8:$M$500,0)+7,"")</f>
        <v/>
      </c>
    </row>
    <row r="38" customFormat="false" ht="18" hidden="false" customHeight="true" outlineLevel="0" collapsed="false">
      <c r="A38" s="56" t="str">
        <f aca="false">IF($J38="","",INDEX('Investment Log'!$B:$B,$J38))</f>
        <v/>
      </c>
      <c r="B38" s="57" t="str">
        <f aca="false">IF($J38="","",T(INDEX('Investment Log'!$D:$D,$J38)))</f>
        <v/>
      </c>
      <c r="C38" s="58" t="str">
        <f aca="false">IF($J38="","",INDEX('Investment Log'!$E:$E,$J38))</f>
        <v/>
      </c>
      <c r="D38" s="59" t="str">
        <f aca="false">IF($J38="","",INDEX('Investment Log'!$F:$F,$J38))</f>
        <v/>
      </c>
      <c r="E38" s="10" t="str">
        <f aca="false">IF($J38="","",T(INDEX('Investment Log'!$G:$G,$J38)))</f>
        <v/>
      </c>
      <c r="F38" s="10" t="str">
        <f aca="false">IF($J38="","",T(INDEX('Investment Log'!$H:$H,$J38)))</f>
        <v/>
      </c>
      <c r="G38" s="60" t="str">
        <f aca="false">IF($J38="","",SUM($D$8:$D38))</f>
        <v/>
      </c>
      <c r="H38" s="15" t="str">
        <f aca="false">IF($J38="","",SUM($C$8:$C38))</f>
        <v/>
      </c>
      <c r="J38" s="0" t="str">
        <f aca="false">IFERROR(MATCH("Gold|"&amp;31,'Investment Log'!$M$8:$M$500,0)+7,"")</f>
        <v/>
      </c>
    </row>
    <row r="39" customFormat="false" ht="18" hidden="false" customHeight="true" outlineLevel="0" collapsed="false">
      <c r="A39" s="61" t="str">
        <f aca="false">IF($J39="","",INDEX('Investment Log'!$B:$B,$J39))</f>
        <v/>
      </c>
      <c r="B39" s="51" t="str">
        <f aca="false">IF($J39="","",T(INDEX('Investment Log'!$D:$D,$J39)))</f>
        <v/>
      </c>
      <c r="C39" s="62" t="str">
        <f aca="false">IF($J39="","",INDEX('Investment Log'!$E:$E,$J39))</f>
        <v/>
      </c>
      <c r="D39" s="63" t="str">
        <f aca="false">IF($J39="","",INDEX('Investment Log'!$F:$F,$J39))</f>
        <v/>
      </c>
      <c r="E39" s="20" t="str">
        <f aca="false">IF($J39="","",T(INDEX('Investment Log'!$G:$G,$J39)))</f>
        <v/>
      </c>
      <c r="F39" s="20" t="str">
        <f aca="false">IF($J39="","",T(INDEX('Investment Log'!$H:$H,$J39)))</f>
        <v/>
      </c>
      <c r="G39" s="64" t="str">
        <f aca="false">IF($J39="","",SUM($D$8:$D39))</f>
        <v/>
      </c>
      <c r="H39" s="25" t="str">
        <f aca="false">IF($J39="","",SUM($C$8:$C39))</f>
        <v/>
      </c>
      <c r="J39" s="0" t="str">
        <f aca="false">IFERROR(MATCH("Gold|"&amp;32,'Investment Log'!$M$8:$M$500,0)+7,"")</f>
        <v/>
      </c>
    </row>
    <row r="40" customFormat="false" ht="18" hidden="false" customHeight="true" outlineLevel="0" collapsed="false">
      <c r="A40" s="56" t="str">
        <f aca="false">IF($J40="","",INDEX('Investment Log'!$B:$B,$J40))</f>
        <v/>
      </c>
      <c r="B40" s="57" t="str">
        <f aca="false">IF($J40="","",T(INDEX('Investment Log'!$D:$D,$J40)))</f>
        <v/>
      </c>
      <c r="C40" s="58" t="str">
        <f aca="false">IF($J40="","",INDEX('Investment Log'!$E:$E,$J40))</f>
        <v/>
      </c>
      <c r="D40" s="59" t="str">
        <f aca="false">IF($J40="","",INDEX('Investment Log'!$F:$F,$J40))</f>
        <v/>
      </c>
      <c r="E40" s="10" t="str">
        <f aca="false">IF($J40="","",T(INDEX('Investment Log'!$G:$G,$J40)))</f>
        <v/>
      </c>
      <c r="F40" s="10" t="str">
        <f aca="false">IF($J40="","",T(INDEX('Investment Log'!$H:$H,$J40)))</f>
        <v/>
      </c>
      <c r="G40" s="60" t="str">
        <f aca="false">IF($J40="","",SUM($D$8:$D40))</f>
        <v/>
      </c>
      <c r="H40" s="15" t="str">
        <f aca="false">IF($J40="","",SUM($C$8:$C40))</f>
        <v/>
      </c>
      <c r="J40" s="0" t="str">
        <f aca="false">IFERROR(MATCH("Gold|"&amp;33,'Investment Log'!$M$8:$M$500,0)+7,"")</f>
        <v/>
      </c>
    </row>
    <row r="41" customFormat="false" ht="18" hidden="false" customHeight="true" outlineLevel="0" collapsed="false">
      <c r="A41" s="61" t="str">
        <f aca="false">IF($J41="","",INDEX('Investment Log'!$B:$B,$J41))</f>
        <v/>
      </c>
      <c r="B41" s="51" t="str">
        <f aca="false">IF($J41="","",T(INDEX('Investment Log'!$D:$D,$J41)))</f>
        <v/>
      </c>
      <c r="C41" s="62" t="str">
        <f aca="false">IF($J41="","",INDEX('Investment Log'!$E:$E,$J41))</f>
        <v/>
      </c>
      <c r="D41" s="63" t="str">
        <f aca="false">IF($J41="","",INDEX('Investment Log'!$F:$F,$J41))</f>
        <v/>
      </c>
      <c r="E41" s="20" t="str">
        <f aca="false">IF($J41="","",T(INDEX('Investment Log'!$G:$G,$J41)))</f>
        <v/>
      </c>
      <c r="F41" s="20" t="str">
        <f aca="false">IF($J41="","",T(INDEX('Investment Log'!$H:$H,$J41)))</f>
        <v/>
      </c>
      <c r="G41" s="64" t="str">
        <f aca="false">IF($J41="","",SUM($D$8:$D41))</f>
        <v/>
      </c>
      <c r="H41" s="25" t="str">
        <f aca="false">IF($J41="","",SUM($C$8:$C41))</f>
        <v/>
      </c>
      <c r="J41" s="0" t="str">
        <f aca="false">IFERROR(MATCH("Gold|"&amp;34,'Investment Log'!$M$8:$M$500,0)+7,"")</f>
        <v/>
      </c>
    </row>
    <row r="42" customFormat="false" ht="18" hidden="false" customHeight="true" outlineLevel="0" collapsed="false">
      <c r="A42" s="56" t="str">
        <f aca="false">IF($J42="","",INDEX('Investment Log'!$B:$B,$J42))</f>
        <v/>
      </c>
      <c r="B42" s="57" t="str">
        <f aca="false">IF($J42="","",T(INDEX('Investment Log'!$D:$D,$J42)))</f>
        <v/>
      </c>
      <c r="C42" s="58" t="str">
        <f aca="false">IF($J42="","",INDEX('Investment Log'!$E:$E,$J42))</f>
        <v/>
      </c>
      <c r="D42" s="59" t="str">
        <f aca="false">IF($J42="","",INDEX('Investment Log'!$F:$F,$J42))</f>
        <v/>
      </c>
      <c r="E42" s="10" t="str">
        <f aca="false">IF($J42="","",T(INDEX('Investment Log'!$G:$G,$J42)))</f>
        <v/>
      </c>
      <c r="F42" s="10" t="str">
        <f aca="false">IF($J42="","",T(INDEX('Investment Log'!$H:$H,$J42)))</f>
        <v/>
      </c>
      <c r="G42" s="60" t="str">
        <f aca="false">IF($J42="","",SUM($D$8:$D42))</f>
        <v/>
      </c>
      <c r="H42" s="15" t="str">
        <f aca="false">IF($J42="","",SUM($C$8:$C42))</f>
        <v/>
      </c>
      <c r="J42" s="0" t="str">
        <f aca="false">IFERROR(MATCH("Gold|"&amp;35,'Investment Log'!$M$8:$M$500,0)+7,"")</f>
        <v/>
      </c>
    </row>
    <row r="43" customFormat="false" ht="18" hidden="false" customHeight="true" outlineLevel="0" collapsed="false">
      <c r="A43" s="61" t="str">
        <f aca="false">IF($J43="","",INDEX('Investment Log'!$B:$B,$J43))</f>
        <v/>
      </c>
      <c r="B43" s="51" t="str">
        <f aca="false">IF($J43="","",T(INDEX('Investment Log'!$D:$D,$J43)))</f>
        <v/>
      </c>
      <c r="C43" s="62" t="str">
        <f aca="false">IF($J43="","",INDEX('Investment Log'!$E:$E,$J43))</f>
        <v/>
      </c>
      <c r="D43" s="63" t="str">
        <f aca="false">IF($J43="","",INDEX('Investment Log'!$F:$F,$J43))</f>
        <v/>
      </c>
      <c r="E43" s="20" t="str">
        <f aca="false">IF($J43="","",T(INDEX('Investment Log'!$G:$G,$J43)))</f>
        <v/>
      </c>
      <c r="F43" s="20" t="str">
        <f aca="false">IF($J43="","",T(INDEX('Investment Log'!$H:$H,$J43)))</f>
        <v/>
      </c>
      <c r="G43" s="64" t="str">
        <f aca="false">IF($J43="","",SUM($D$8:$D43))</f>
        <v/>
      </c>
      <c r="H43" s="25" t="str">
        <f aca="false">IF($J43="","",SUM($C$8:$C43))</f>
        <v/>
      </c>
      <c r="J43" s="0" t="str">
        <f aca="false">IFERROR(MATCH("Gold|"&amp;36,'Investment Log'!$M$8:$M$500,0)+7,"")</f>
        <v/>
      </c>
    </row>
    <row r="44" customFormat="false" ht="18" hidden="false" customHeight="true" outlineLevel="0" collapsed="false">
      <c r="A44" s="56" t="str">
        <f aca="false">IF($J44="","",INDEX('Investment Log'!$B:$B,$J44))</f>
        <v/>
      </c>
      <c r="B44" s="57" t="str">
        <f aca="false">IF($J44="","",T(INDEX('Investment Log'!$D:$D,$J44)))</f>
        <v/>
      </c>
      <c r="C44" s="58" t="str">
        <f aca="false">IF($J44="","",INDEX('Investment Log'!$E:$E,$J44))</f>
        <v/>
      </c>
      <c r="D44" s="59" t="str">
        <f aca="false">IF($J44="","",INDEX('Investment Log'!$F:$F,$J44))</f>
        <v/>
      </c>
      <c r="E44" s="10" t="str">
        <f aca="false">IF($J44="","",T(INDEX('Investment Log'!$G:$G,$J44)))</f>
        <v/>
      </c>
      <c r="F44" s="10" t="str">
        <f aca="false">IF($J44="","",T(INDEX('Investment Log'!$H:$H,$J44)))</f>
        <v/>
      </c>
      <c r="G44" s="60" t="str">
        <f aca="false">IF($J44="","",SUM($D$8:$D44))</f>
        <v/>
      </c>
      <c r="H44" s="15" t="str">
        <f aca="false">IF($J44="","",SUM($C$8:$C44))</f>
        <v/>
      </c>
      <c r="J44" s="0" t="str">
        <f aca="false">IFERROR(MATCH("Gold|"&amp;37,'Investment Log'!$M$8:$M$500,0)+7,"")</f>
        <v/>
      </c>
    </row>
    <row r="45" customFormat="false" ht="18" hidden="false" customHeight="true" outlineLevel="0" collapsed="false">
      <c r="A45" s="61" t="str">
        <f aca="false">IF($J45="","",INDEX('Investment Log'!$B:$B,$J45))</f>
        <v/>
      </c>
      <c r="B45" s="51" t="str">
        <f aca="false">IF($J45="","",T(INDEX('Investment Log'!$D:$D,$J45)))</f>
        <v/>
      </c>
      <c r="C45" s="62" t="str">
        <f aca="false">IF($J45="","",INDEX('Investment Log'!$E:$E,$J45))</f>
        <v/>
      </c>
      <c r="D45" s="63" t="str">
        <f aca="false">IF($J45="","",INDEX('Investment Log'!$F:$F,$J45))</f>
        <v/>
      </c>
      <c r="E45" s="20" t="str">
        <f aca="false">IF($J45="","",T(INDEX('Investment Log'!$G:$G,$J45)))</f>
        <v/>
      </c>
      <c r="F45" s="20" t="str">
        <f aca="false">IF($J45="","",T(INDEX('Investment Log'!$H:$H,$J45)))</f>
        <v/>
      </c>
      <c r="G45" s="64" t="str">
        <f aca="false">IF($J45="","",SUM($D$8:$D45))</f>
        <v/>
      </c>
      <c r="H45" s="25" t="str">
        <f aca="false">IF($J45="","",SUM($C$8:$C45))</f>
        <v/>
      </c>
      <c r="J45" s="0" t="str">
        <f aca="false">IFERROR(MATCH("Gold|"&amp;38,'Investment Log'!$M$8:$M$500,0)+7,"")</f>
        <v/>
      </c>
    </row>
    <row r="46" customFormat="false" ht="18" hidden="false" customHeight="true" outlineLevel="0" collapsed="false">
      <c r="A46" s="56" t="str">
        <f aca="false">IF($J46="","",INDEX('Investment Log'!$B:$B,$J46))</f>
        <v/>
      </c>
      <c r="B46" s="57" t="str">
        <f aca="false">IF($J46="","",T(INDEX('Investment Log'!$D:$D,$J46)))</f>
        <v/>
      </c>
      <c r="C46" s="58" t="str">
        <f aca="false">IF($J46="","",INDEX('Investment Log'!$E:$E,$J46))</f>
        <v/>
      </c>
      <c r="D46" s="59" t="str">
        <f aca="false">IF($J46="","",INDEX('Investment Log'!$F:$F,$J46))</f>
        <v/>
      </c>
      <c r="E46" s="10" t="str">
        <f aca="false">IF($J46="","",T(INDEX('Investment Log'!$G:$G,$J46)))</f>
        <v/>
      </c>
      <c r="F46" s="10" t="str">
        <f aca="false">IF($J46="","",T(INDEX('Investment Log'!$H:$H,$J46)))</f>
        <v/>
      </c>
      <c r="G46" s="60" t="str">
        <f aca="false">IF($J46="","",SUM($D$8:$D46))</f>
        <v/>
      </c>
      <c r="H46" s="15" t="str">
        <f aca="false">IF($J46="","",SUM($C$8:$C46))</f>
        <v/>
      </c>
      <c r="J46" s="0" t="str">
        <f aca="false">IFERROR(MATCH("Gold|"&amp;39,'Investment Log'!$M$8:$M$500,0)+7,"")</f>
        <v/>
      </c>
    </row>
    <row r="47" customFormat="false" ht="18" hidden="false" customHeight="true" outlineLevel="0" collapsed="false">
      <c r="A47" s="61" t="str">
        <f aca="false">IF($J47="","",INDEX('Investment Log'!$B:$B,$J47))</f>
        <v/>
      </c>
      <c r="B47" s="51" t="str">
        <f aca="false">IF($J47="","",T(INDEX('Investment Log'!$D:$D,$J47)))</f>
        <v/>
      </c>
      <c r="C47" s="62" t="str">
        <f aca="false">IF($J47="","",INDEX('Investment Log'!$E:$E,$J47))</f>
        <v/>
      </c>
      <c r="D47" s="63" t="str">
        <f aca="false">IF($J47="","",INDEX('Investment Log'!$F:$F,$J47))</f>
        <v/>
      </c>
      <c r="E47" s="20" t="str">
        <f aca="false">IF($J47="","",T(INDEX('Investment Log'!$G:$G,$J47)))</f>
        <v/>
      </c>
      <c r="F47" s="20" t="str">
        <f aca="false">IF($J47="","",T(INDEX('Investment Log'!$H:$H,$J47)))</f>
        <v/>
      </c>
      <c r="G47" s="64" t="str">
        <f aca="false">IF($J47="","",SUM($D$8:$D47))</f>
        <v/>
      </c>
      <c r="H47" s="25" t="str">
        <f aca="false">IF($J47="","",SUM($C$8:$C47))</f>
        <v/>
      </c>
      <c r="J47" s="0" t="str">
        <f aca="false">IFERROR(MATCH("Gold|"&amp;40,'Investment Log'!$M$8:$M$500,0)+7,"")</f>
        <v/>
      </c>
    </row>
    <row r="48" customFormat="false" ht="18" hidden="false" customHeight="true" outlineLevel="0" collapsed="false">
      <c r="A48" s="56" t="str">
        <f aca="false">IF($J48="","",INDEX('Investment Log'!$B:$B,$J48))</f>
        <v/>
      </c>
      <c r="B48" s="57" t="str">
        <f aca="false">IF($J48="","",T(INDEX('Investment Log'!$D:$D,$J48)))</f>
        <v/>
      </c>
      <c r="C48" s="58" t="str">
        <f aca="false">IF($J48="","",INDEX('Investment Log'!$E:$E,$J48))</f>
        <v/>
      </c>
      <c r="D48" s="59" t="str">
        <f aca="false">IF($J48="","",INDEX('Investment Log'!$F:$F,$J48))</f>
        <v/>
      </c>
      <c r="E48" s="10" t="str">
        <f aca="false">IF($J48="","",T(INDEX('Investment Log'!$G:$G,$J48)))</f>
        <v/>
      </c>
      <c r="F48" s="10" t="str">
        <f aca="false">IF($J48="","",T(INDEX('Investment Log'!$H:$H,$J48)))</f>
        <v/>
      </c>
      <c r="G48" s="60" t="str">
        <f aca="false">IF($J48="","",SUM($D$8:$D48))</f>
        <v/>
      </c>
      <c r="H48" s="15" t="str">
        <f aca="false">IF($J48="","",SUM($C$8:$C48))</f>
        <v/>
      </c>
      <c r="J48" s="0" t="str">
        <f aca="false">IFERROR(MATCH("Gold|"&amp;41,'Investment Log'!$M$8:$M$500,0)+7,"")</f>
        <v/>
      </c>
    </row>
    <row r="49" customFormat="false" ht="18" hidden="false" customHeight="true" outlineLevel="0" collapsed="false">
      <c r="A49" s="61" t="str">
        <f aca="false">IF($J49="","",INDEX('Investment Log'!$B:$B,$J49))</f>
        <v/>
      </c>
      <c r="B49" s="51" t="str">
        <f aca="false">IF($J49="","",T(INDEX('Investment Log'!$D:$D,$J49)))</f>
        <v/>
      </c>
      <c r="C49" s="62" t="str">
        <f aca="false">IF($J49="","",INDEX('Investment Log'!$E:$E,$J49))</f>
        <v/>
      </c>
      <c r="D49" s="63" t="str">
        <f aca="false">IF($J49="","",INDEX('Investment Log'!$F:$F,$J49))</f>
        <v/>
      </c>
      <c r="E49" s="20" t="str">
        <f aca="false">IF($J49="","",T(INDEX('Investment Log'!$G:$G,$J49)))</f>
        <v/>
      </c>
      <c r="F49" s="20" t="str">
        <f aca="false">IF($J49="","",T(INDEX('Investment Log'!$H:$H,$J49)))</f>
        <v/>
      </c>
      <c r="G49" s="64" t="str">
        <f aca="false">IF($J49="","",SUM($D$8:$D49))</f>
        <v/>
      </c>
      <c r="H49" s="25" t="str">
        <f aca="false">IF($J49="","",SUM($C$8:$C49))</f>
        <v/>
      </c>
      <c r="J49" s="0" t="str">
        <f aca="false">IFERROR(MATCH("Gold|"&amp;42,'Investment Log'!$M$8:$M$500,0)+7,"")</f>
        <v/>
      </c>
    </row>
    <row r="50" customFormat="false" ht="18" hidden="false" customHeight="true" outlineLevel="0" collapsed="false">
      <c r="A50" s="56" t="str">
        <f aca="false">IF($J50="","",INDEX('Investment Log'!$B:$B,$J50))</f>
        <v/>
      </c>
      <c r="B50" s="57" t="str">
        <f aca="false">IF($J50="","",T(INDEX('Investment Log'!$D:$D,$J50)))</f>
        <v/>
      </c>
      <c r="C50" s="58" t="str">
        <f aca="false">IF($J50="","",INDEX('Investment Log'!$E:$E,$J50))</f>
        <v/>
      </c>
      <c r="D50" s="59" t="str">
        <f aca="false">IF($J50="","",INDEX('Investment Log'!$F:$F,$J50))</f>
        <v/>
      </c>
      <c r="E50" s="10" t="str">
        <f aca="false">IF($J50="","",T(INDEX('Investment Log'!$G:$G,$J50)))</f>
        <v/>
      </c>
      <c r="F50" s="10" t="str">
        <f aca="false">IF($J50="","",T(INDEX('Investment Log'!$H:$H,$J50)))</f>
        <v/>
      </c>
      <c r="G50" s="60" t="str">
        <f aca="false">IF($J50="","",SUM($D$8:$D50))</f>
        <v/>
      </c>
      <c r="H50" s="15" t="str">
        <f aca="false">IF($J50="","",SUM($C$8:$C50))</f>
        <v/>
      </c>
      <c r="J50" s="0" t="str">
        <f aca="false">IFERROR(MATCH("Gold|"&amp;43,'Investment Log'!$M$8:$M$500,0)+7,"")</f>
        <v/>
      </c>
    </row>
    <row r="51" customFormat="false" ht="18" hidden="false" customHeight="true" outlineLevel="0" collapsed="false">
      <c r="A51" s="61" t="str">
        <f aca="false">IF($J51="","",INDEX('Investment Log'!$B:$B,$J51))</f>
        <v/>
      </c>
      <c r="B51" s="51" t="str">
        <f aca="false">IF($J51="","",T(INDEX('Investment Log'!$D:$D,$J51)))</f>
        <v/>
      </c>
      <c r="C51" s="62" t="str">
        <f aca="false">IF($J51="","",INDEX('Investment Log'!$E:$E,$J51))</f>
        <v/>
      </c>
      <c r="D51" s="63" t="str">
        <f aca="false">IF($J51="","",INDEX('Investment Log'!$F:$F,$J51))</f>
        <v/>
      </c>
      <c r="E51" s="20" t="str">
        <f aca="false">IF($J51="","",T(INDEX('Investment Log'!$G:$G,$J51)))</f>
        <v/>
      </c>
      <c r="F51" s="20" t="str">
        <f aca="false">IF($J51="","",T(INDEX('Investment Log'!$H:$H,$J51)))</f>
        <v/>
      </c>
      <c r="G51" s="64" t="str">
        <f aca="false">IF($J51="","",SUM($D$8:$D51))</f>
        <v/>
      </c>
      <c r="H51" s="25" t="str">
        <f aca="false">IF($J51="","",SUM($C$8:$C51))</f>
        <v/>
      </c>
      <c r="J51" s="0" t="str">
        <f aca="false">IFERROR(MATCH("Gold|"&amp;44,'Investment Log'!$M$8:$M$500,0)+7,"")</f>
        <v/>
      </c>
    </row>
    <row r="52" customFormat="false" ht="18" hidden="false" customHeight="true" outlineLevel="0" collapsed="false">
      <c r="A52" s="56" t="str">
        <f aca="false">IF($J52="","",INDEX('Investment Log'!$B:$B,$J52))</f>
        <v/>
      </c>
      <c r="B52" s="57" t="str">
        <f aca="false">IF($J52="","",T(INDEX('Investment Log'!$D:$D,$J52)))</f>
        <v/>
      </c>
      <c r="C52" s="58" t="str">
        <f aca="false">IF($J52="","",INDEX('Investment Log'!$E:$E,$J52))</f>
        <v/>
      </c>
      <c r="D52" s="59" t="str">
        <f aca="false">IF($J52="","",INDEX('Investment Log'!$F:$F,$J52))</f>
        <v/>
      </c>
      <c r="E52" s="10" t="str">
        <f aca="false">IF($J52="","",T(INDEX('Investment Log'!$G:$G,$J52)))</f>
        <v/>
      </c>
      <c r="F52" s="10" t="str">
        <f aca="false">IF($J52="","",T(INDEX('Investment Log'!$H:$H,$J52)))</f>
        <v/>
      </c>
      <c r="G52" s="60" t="str">
        <f aca="false">IF($J52="","",SUM($D$8:$D52))</f>
        <v/>
      </c>
      <c r="H52" s="15" t="str">
        <f aca="false">IF($J52="","",SUM($C$8:$C52))</f>
        <v/>
      </c>
      <c r="J52" s="0" t="str">
        <f aca="false">IFERROR(MATCH("Gold|"&amp;45,'Investment Log'!$M$8:$M$500,0)+7,"")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true" outlineLevel="0" max="8" min="8" style="0" width="13"/>
  </cols>
  <sheetData>
    <row r="1" customFormat="false" ht="27.75" hidden="false" customHeight="true" outlineLevel="0" collapsed="false">
      <c r="A1" s="65" t="s">
        <v>173</v>
      </c>
      <c r="B1" s="65"/>
      <c r="C1" s="65"/>
      <c r="D1" s="65"/>
      <c r="E1" s="65"/>
      <c r="F1" s="65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</row>
    <row r="4" customFormat="false" ht="15.75" hidden="false" customHeight="true" outlineLevel="0" collapsed="false">
      <c r="A4" s="3" t="s">
        <v>2</v>
      </c>
      <c r="B4" s="3" t="s">
        <v>4</v>
      </c>
    </row>
    <row r="5" customFormat="false" ht="24" hidden="false" customHeight="true" outlineLevel="0" collapsed="false">
      <c r="A5" s="66" t="n">
        <f aca="false">SUMIF('Investment Log'!$C$8:$C$500,"Fixed Deposit",'Investment Log'!$E$8:$E$500)</f>
        <v>250000</v>
      </c>
      <c r="B5" s="55" t="n">
        <f aca="false">COUNTIF('Investment Log'!$C$8:$C$500,"Fixed Deposit")</f>
        <v>3</v>
      </c>
    </row>
    <row r="7" customFormat="false" ht="27.75" hidden="false" customHeight="true" outlineLevel="0" collapsed="false">
      <c r="A7" s="7" t="s">
        <v>6</v>
      </c>
      <c r="B7" s="7" t="s">
        <v>8</v>
      </c>
      <c r="C7" s="7" t="s">
        <v>9</v>
      </c>
      <c r="D7" s="7" t="s">
        <v>11</v>
      </c>
      <c r="E7" s="7" t="s">
        <v>12</v>
      </c>
      <c r="F7" s="7" t="s">
        <v>172</v>
      </c>
    </row>
    <row r="8" customFormat="false" ht="18" hidden="false" customHeight="true" outlineLevel="0" collapsed="false">
      <c r="A8" s="56" t="n">
        <f aca="false">IF($H8="","",INDEX('Investment Log'!$B:$B,$H8))</f>
        <v>46054</v>
      </c>
      <c r="B8" s="57" t="str">
        <f aca="false">IF($H8="","",T(INDEX('Investment Log'!$D:$D,$H8)))</f>
        <v>ICICI FD</v>
      </c>
      <c r="C8" s="58" t="n">
        <f aca="false">IF($H8="","",INDEX('Investment Log'!$E:$E,$H8))</f>
        <v>150000</v>
      </c>
      <c r="D8" s="10" t="str">
        <f aca="false">IF($H8="","",T(INDEX('Investment Log'!$G:$G,$H8)))</f>
        <v>ICICI</v>
      </c>
      <c r="E8" s="10" t="str">
        <f aca="false">IF($H8="","",T(INDEX('Investment Log'!$H:$H,$H8)))</f>
        <v>Day not specified. Rate / tenure not recorded.</v>
      </c>
      <c r="F8" s="15" t="n">
        <f aca="false">IF($H8="","",SUM($C$8:$C8))</f>
        <v>150000</v>
      </c>
      <c r="H8" s="16" t="n">
        <f aca="false">IFERROR(MATCH("Fixed Deposit|"&amp;1,'Investment Log'!$M$8:$M$500,0)+7,"")</f>
        <v>13</v>
      </c>
    </row>
    <row r="9" customFormat="false" ht="18" hidden="false" customHeight="true" outlineLevel="0" collapsed="false">
      <c r="A9" s="61" t="n">
        <f aca="false">IF($H9="","",INDEX('Investment Log'!$B:$B,$H9))</f>
        <v>46143</v>
      </c>
      <c r="B9" s="51" t="str">
        <f aca="false">IF($H9="","",T(INDEX('Investment Log'!$D:$D,$H9)))</f>
        <v>FD</v>
      </c>
      <c r="C9" s="62" t="n">
        <f aca="false">IF($H9="","",INDEX('Investment Log'!$E:$E,$H9))</f>
        <v>50000</v>
      </c>
      <c r="D9" s="20" t="str">
        <f aca="false">IF($H9="","",T(INDEX('Investment Log'!$G:$G,$H9)))</f>
        <v>—</v>
      </c>
      <c r="E9" s="20" t="str">
        <f aca="false">IF($H9="","",T(INDEX('Investment Log'!$H:$H,$H9)))</f>
        <v>Day / bank not specified.</v>
      </c>
      <c r="F9" s="25" t="n">
        <f aca="false">IF($H9="","",SUM($C$8:$C9))</f>
        <v>200000</v>
      </c>
      <c r="H9" s="16" t="n">
        <f aca="false">IFERROR(MATCH("Fixed Deposit|"&amp;2,'Investment Log'!$M$8:$M$500,0)+7,"")</f>
        <v>16</v>
      </c>
    </row>
    <row r="10" customFormat="false" ht="18" hidden="false" customHeight="true" outlineLevel="0" collapsed="false">
      <c r="A10" s="56" t="n">
        <f aca="false">IF($H10="","",INDEX('Investment Log'!$B:$B,$H10))</f>
        <v>46265</v>
      </c>
      <c r="B10" s="57" t="str">
        <f aca="false">IF($H10="","",T(INDEX('Investment Log'!$D:$D,$H10)))</f>
        <v>ICICI FD</v>
      </c>
      <c r="C10" s="58" t="n">
        <f aca="false">IF($H10="","",INDEX('Investment Log'!$E:$E,$H10))</f>
        <v>50000</v>
      </c>
      <c r="D10" s="10" t="str">
        <f aca="false">IF($H10="","",T(INDEX('Investment Log'!$G:$G,$H10)))</f>
        <v>ICICI</v>
      </c>
      <c r="E10" s="10" t="str">
        <f aca="false">IF($H10="","",T(INDEX('Investment Log'!$H:$H,$H10)))</f>
        <v>3.5 years @ 6.5% interest.</v>
      </c>
      <c r="F10" s="15" t="n">
        <f aca="false">IF($H10="","",SUM($C$8:$C10))</f>
        <v>250000</v>
      </c>
      <c r="H10" s="16" t="n">
        <f aca="false">IFERROR(MATCH("Fixed Deposit|"&amp;3,'Investment Log'!$M$8:$M$500,0)+7,"")</f>
        <v>22</v>
      </c>
    </row>
    <row r="11" customFormat="false" ht="18" hidden="false" customHeight="true" outlineLevel="0" collapsed="false">
      <c r="A11" s="61" t="str">
        <f aca="false">IF($H11="","",INDEX('Investment Log'!$B:$B,$H11))</f>
        <v/>
      </c>
      <c r="B11" s="51" t="str">
        <f aca="false">IF($H11="","",T(INDEX('Investment Log'!$D:$D,$H11)))</f>
        <v/>
      </c>
      <c r="C11" s="62" t="str">
        <f aca="false">IF($H11="","",INDEX('Investment Log'!$E:$E,$H11))</f>
        <v/>
      </c>
      <c r="D11" s="20" t="str">
        <f aca="false">IF($H11="","",T(INDEX('Investment Log'!$G:$G,$H11)))</f>
        <v/>
      </c>
      <c r="E11" s="20" t="str">
        <f aca="false">IF($H11="","",T(INDEX('Investment Log'!$H:$H,$H11)))</f>
        <v/>
      </c>
      <c r="F11" s="25" t="str">
        <f aca="false">IF($H11="","",SUM($C$8:$C11))</f>
        <v/>
      </c>
      <c r="H11" s="0" t="str">
        <f aca="false">IFERROR(MATCH("Fixed Deposit|"&amp;4,'Investment Log'!$M$8:$M$500,0)+7,"")</f>
        <v/>
      </c>
    </row>
    <row r="12" customFormat="false" ht="18" hidden="false" customHeight="true" outlineLevel="0" collapsed="false">
      <c r="A12" s="56" t="str">
        <f aca="false">IF($H12="","",INDEX('Investment Log'!$B:$B,$H12))</f>
        <v/>
      </c>
      <c r="B12" s="57" t="str">
        <f aca="false">IF($H12="","",T(INDEX('Investment Log'!$D:$D,$H12)))</f>
        <v/>
      </c>
      <c r="C12" s="58" t="str">
        <f aca="false">IF($H12="","",INDEX('Investment Log'!$E:$E,$H12))</f>
        <v/>
      </c>
      <c r="D12" s="10" t="str">
        <f aca="false">IF($H12="","",T(INDEX('Investment Log'!$G:$G,$H12)))</f>
        <v/>
      </c>
      <c r="E12" s="10" t="str">
        <f aca="false">IF($H12="","",T(INDEX('Investment Log'!$H:$H,$H12)))</f>
        <v/>
      </c>
      <c r="F12" s="15" t="str">
        <f aca="false">IF($H12="","",SUM($C$8:$C12))</f>
        <v/>
      </c>
      <c r="H12" s="0" t="str">
        <f aca="false">IFERROR(MATCH("Fixed Deposit|"&amp;5,'Investment Log'!$M$8:$M$500,0)+7,"")</f>
        <v/>
      </c>
    </row>
    <row r="13" customFormat="false" ht="18" hidden="false" customHeight="true" outlineLevel="0" collapsed="false">
      <c r="A13" s="61" t="str">
        <f aca="false">IF($H13="","",INDEX('Investment Log'!$B:$B,$H13))</f>
        <v/>
      </c>
      <c r="B13" s="51" t="str">
        <f aca="false">IF($H13="","",T(INDEX('Investment Log'!$D:$D,$H13)))</f>
        <v/>
      </c>
      <c r="C13" s="62" t="str">
        <f aca="false">IF($H13="","",INDEX('Investment Log'!$E:$E,$H13))</f>
        <v/>
      </c>
      <c r="D13" s="20" t="str">
        <f aca="false">IF($H13="","",T(INDEX('Investment Log'!$G:$G,$H13)))</f>
        <v/>
      </c>
      <c r="E13" s="20" t="str">
        <f aca="false">IF($H13="","",T(INDEX('Investment Log'!$H:$H,$H13)))</f>
        <v/>
      </c>
      <c r="F13" s="25" t="str">
        <f aca="false">IF($H13="","",SUM($C$8:$C13))</f>
        <v/>
      </c>
      <c r="H13" s="0" t="str">
        <f aca="false">IFERROR(MATCH("Fixed Deposit|"&amp;6,'Investment Log'!$M$8:$M$500,0)+7,"")</f>
        <v/>
      </c>
    </row>
    <row r="14" customFormat="false" ht="18" hidden="false" customHeight="true" outlineLevel="0" collapsed="false">
      <c r="A14" s="56" t="str">
        <f aca="false">IF($H14="","",INDEX('Investment Log'!$B:$B,$H14))</f>
        <v/>
      </c>
      <c r="B14" s="57" t="str">
        <f aca="false">IF($H14="","",T(INDEX('Investment Log'!$D:$D,$H14)))</f>
        <v/>
      </c>
      <c r="C14" s="58" t="str">
        <f aca="false">IF($H14="","",INDEX('Investment Log'!$E:$E,$H14))</f>
        <v/>
      </c>
      <c r="D14" s="10" t="str">
        <f aca="false">IF($H14="","",T(INDEX('Investment Log'!$G:$G,$H14)))</f>
        <v/>
      </c>
      <c r="E14" s="10" t="str">
        <f aca="false">IF($H14="","",T(INDEX('Investment Log'!$H:$H,$H14)))</f>
        <v/>
      </c>
      <c r="F14" s="15" t="str">
        <f aca="false">IF($H14="","",SUM($C$8:$C14))</f>
        <v/>
      </c>
      <c r="H14" s="0" t="str">
        <f aca="false">IFERROR(MATCH("Fixed Deposit|"&amp;7,'Investment Log'!$M$8:$M$500,0)+7,"")</f>
        <v/>
      </c>
    </row>
    <row r="15" customFormat="false" ht="18" hidden="false" customHeight="true" outlineLevel="0" collapsed="false">
      <c r="A15" s="61" t="str">
        <f aca="false">IF($H15="","",INDEX('Investment Log'!$B:$B,$H15))</f>
        <v/>
      </c>
      <c r="B15" s="51" t="str">
        <f aca="false">IF($H15="","",T(INDEX('Investment Log'!$D:$D,$H15)))</f>
        <v/>
      </c>
      <c r="C15" s="62" t="str">
        <f aca="false">IF($H15="","",INDEX('Investment Log'!$E:$E,$H15))</f>
        <v/>
      </c>
      <c r="D15" s="20" t="str">
        <f aca="false">IF($H15="","",T(INDEX('Investment Log'!$G:$G,$H15)))</f>
        <v/>
      </c>
      <c r="E15" s="20" t="str">
        <f aca="false">IF($H15="","",T(INDEX('Investment Log'!$H:$H,$H15)))</f>
        <v/>
      </c>
      <c r="F15" s="25" t="str">
        <f aca="false">IF($H15="","",SUM($C$8:$C15))</f>
        <v/>
      </c>
      <c r="H15" s="0" t="str">
        <f aca="false">IFERROR(MATCH("Fixed Deposit|"&amp;8,'Investment Log'!$M$8:$M$500,0)+7,"")</f>
        <v/>
      </c>
    </row>
    <row r="16" customFormat="false" ht="18" hidden="false" customHeight="true" outlineLevel="0" collapsed="false">
      <c r="A16" s="56" t="str">
        <f aca="false">IF($H16="","",INDEX('Investment Log'!$B:$B,$H16))</f>
        <v/>
      </c>
      <c r="B16" s="57" t="str">
        <f aca="false">IF($H16="","",T(INDEX('Investment Log'!$D:$D,$H16)))</f>
        <v/>
      </c>
      <c r="C16" s="58" t="str">
        <f aca="false">IF($H16="","",INDEX('Investment Log'!$E:$E,$H16))</f>
        <v/>
      </c>
      <c r="D16" s="10" t="str">
        <f aca="false">IF($H16="","",T(INDEX('Investment Log'!$G:$G,$H16)))</f>
        <v/>
      </c>
      <c r="E16" s="10" t="str">
        <f aca="false">IF($H16="","",T(INDEX('Investment Log'!$H:$H,$H16)))</f>
        <v/>
      </c>
      <c r="F16" s="15" t="str">
        <f aca="false">IF($H16="","",SUM($C$8:$C16))</f>
        <v/>
      </c>
      <c r="H16" s="0" t="str">
        <f aca="false">IFERROR(MATCH("Fixed Deposit|"&amp;9,'Investment Log'!$M$8:$M$500,0)+7,"")</f>
        <v/>
      </c>
    </row>
    <row r="17" customFormat="false" ht="18" hidden="false" customHeight="true" outlineLevel="0" collapsed="false">
      <c r="A17" s="61" t="str">
        <f aca="false">IF($H17="","",INDEX('Investment Log'!$B:$B,$H17))</f>
        <v/>
      </c>
      <c r="B17" s="51" t="str">
        <f aca="false">IF($H17="","",T(INDEX('Investment Log'!$D:$D,$H17)))</f>
        <v/>
      </c>
      <c r="C17" s="62" t="str">
        <f aca="false">IF($H17="","",INDEX('Investment Log'!$E:$E,$H17))</f>
        <v/>
      </c>
      <c r="D17" s="20" t="str">
        <f aca="false">IF($H17="","",T(INDEX('Investment Log'!$G:$G,$H17)))</f>
        <v/>
      </c>
      <c r="E17" s="20" t="str">
        <f aca="false">IF($H17="","",T(INDEX('Investment Log'!$H:$H,$H17)))</f>
        <v/>
      </c>
      <c r="F17" s="25" t="str">
        <f aca="false">IF($H17="","",SUM($C$8:$C17))</f>
        <v/>
      </c>
      <c r="H17" s="0" t="str">
        <f aca="false">IFERROR(MATCH("Fixed Deposit|"&amp;10,'Investment Log'!$M$8:$M$500,0)+7,"")</f>
        <v/>
      </c>
    </row>
    <row r="18" customFormat="false" ht="18" hidden="false" customHeight="true" outlineLevel="0" collapsed="false">
      <c r="A18" s="56" t="str">
        <f aca="false">IF($H18="","",INDEX('Investment Log'!$B:$B,$H18))</f>
        <v/>
      </c>
      <c r="B18" s="57" t="str">
        <f aca="false">IF($H18="","",T(INDEX('Investment Log'!$D:$D,$H18)))</f>
        <v/>
      </c>
      <c r="C18" s="58" t="str">
        <f aca="false">IF($H18="","",INDEX('Investment Log'!$E:$E,$H18))</f>
        <v/>
      </c>
      <c r="D18" s="10" t="str">
        <f aca="false">IF($H18="","",T(INDEX('Investment Log'!$G:$G,$H18)))</f>
        <v/>
      </c>
      <c r="E18" s="10" t="str">
        <f aca="false">IF($H18="","",T(INDEX('Investment Log'!$H:$H,$H18)))</f>
        <v/>
      </c>
      <c r="F18" s="15" t="str">
        <f aca="false">IF($H18="","",SUM($C$8:$C18))</f>
        <v/>
      </c>
      <c r="H18" s="0" t="str">
        <f aca="false">IFERROR(MATCH("Fixed Deposit|"&amp;11,'Investment Log'!$M$8:$M$500,0)+7,"")</f>
        <v/>
      </c>
    </row>
    <row r="19" customFormat="false" ht="18" hidden="false" customHeight="true" outlineLevel="0" collapsed="false">
      <c r="A19" s="61" t="str">
        <f aca="false">IF($H19="","",INDEX('Investment Log'!$B:$B,$H19))</f>
        <v/>
      </c>
      <c r="B19" s="51" t="str">
        <f aca="false">IF($H19="","",T(INDEX('Investment Log'!$D:$D,$H19)))</f>
        <v/>
      </c>
      <c r="C19" s="62" t="str">
        <f aca="false">IF($H19="","",INDEX('Investment Log'!$E:$E,$H19))</f>
        <v/>
      </c>
      <c r="D19" s="20" t="str">
        <f aca="false">IF($H19="","",T(INDEX('Investment Log'!$G:$G,$H19)))</f>
        <v/>
      </c>
      <c r="E19" s="20" t="str">
        <f aca="false">IF($H19="","",T(INDEX('Investment Log'!$H:$H,$H19)))</f>
        <v/>
      </c>
      <c r="F19" s="25" t="str">
        <f aca="false">IF($H19="","",SUM($C$8:$C19))</f>
        <v/>
      </c>
      <c r="H19" s="0" t="str">
        <f aca="false">IFERROR(MATCH("Fixed Deposit|"&amp;12,'Investment Log'!$M$8:$M$500,0)+7,"")</f>
        <v/>
      </c>
    </row>
    <row r="20" customFormat="false" ht="18" hidden="false" customHeight="true" outlineLevel="0" collapsed="false">
      <c r="A20" s="56" t="str">
        <f aca="false">IF($H20="","",INDEX('Investment Log'!$B:$B,$H20))</f>
        <v/>
      </c>
      <c r="B20" s="57" t="str">
        <f aca="false">IF($H20="","",T(INDEX('Investment Log'!$D:$D,$H20)))</f>
        <v/>
      </c>
      <c r="C20" s="58" t="str">
        <f aca="false">IF($H20="","",INDEX('Investment Log'!$E:$E,$H20))</f>
        <v/>
      </c>
      <c r="D20" s="10" t="str">
        <f aca="false">IF($H20="","",T(INDEX('Investment Log'!$G:$G,$H20)))</f>
        <v/>
      </c>
      <c r="E20" s="10" t="str">
        <f aca="false">IF($H20="","",T(INDEX('Investment Log'!$H:$H,$H20)))</f>
        <v/>
      </c>
      <c r="F20" s="15" t="str">
        <f aca="false">IF($H20="","",SUM($C$8:$C20))</f>
        <v/>
      </c>
      <c r="H20" s="0" t="str">
        <f aca="false">IFERROR(MATCH("Fixed Deposit|"&amp;13,'Investment Log'!$M$8:$M$500,0)+7,"")</f>
        <v/>
      </c>
    </row>
    <row r="21" customFormat="false" ht="18" hidden="false" customHeight="true" outlineLevel="0" collapsed="false">
      <c r="A21" s="61" t="str">
        <f aca="false">IF($H21="","",INDEX('Investment Log'!$B:$B,$H21))</f>
        <v/>
      </c>
      <c r="B21" s="51" t="str">
        <f aca="false">IF($H21="","",T(INDEX('Investment Log'!$D:$D,$H21)))</f>
        <v/>
      </c>
      <c r="C21" s="62" t="str">
        <f aca="false">IF($H21="","",INDEX('Investment Log'!$E:$E,$H21))</f>
        <v/>
      </c>
      <c r="D21" s="20" t="str">
        <f aca="false">IF($H21="","",T(INDEX('Investment Log'!$G:$G,$H21)))</f>
        <v/>
      </c>
      <c r="E21" s="20" t="str">
        <f aca="false">IF($H21="","",T(INDEX('Investment Log'!$H:$H,$H21)))</f>
        <v/>
      </c>
      <c r="F21" s="25" t="str">
        <f aca="false">IF($H21="","",SUM($C$8:$C21))</f>
        <v/>
      </c>
      <c r="H21" s="0" t="str">
        <f aca="false">IFERROR(MATCH("Fixed Deposit|"&amp;14,'Investment Log'!$M$8:$M$500,0)+7,"")</f>
        <v/>
      </c>
    </row>
    <row r="22" customFormat="false" ht="18" hidden="false" customHeight="true" outlineLevel="0" collapsed="false">
      <c r="A22" s="56" t="str">
        <f aca="false">IF($H22="","",INDEX('Investment Log'!$B:$B,$H22))</f>
        <v/>
      </c>
      <c r="B22" s="57" t="str">
        <f aca="false">IF($H22="","",T(INDEX('Investment Log'!$D:$D,$H22)))</f>
        <v/>
      </c>
      <c r="C22" s="58" t="str">
        <f aca="false">IF($H22="","",INDEX('Investment Log'!$E:$E,$H22))</f>
        <v/>
      </c>
      <c r="D22" s="10" t="str">
        <f aca="false">IF($H22="","",T(INDEX('Investment Log'!$G:$G,$H22)))</f>
        <v/>
      </c>
      <c r="E22" s="10" t="str">
        <f aca="false">IF($H22="","",T(INDEX('Investment Log'!$H:$H,$H22)))</f>
        <v/>
      </c>
      <c r="F22" s="15" t="str">
        <f aca="false">IF($H22="","",SUM($C$8:$C22))</f>
        <v/>
      </c>
      <c r="H22" s="0" t="str">
        <f aca="false">IFERROR(MATCH("Fixed Deposit|"&amp;15,'Investment Log'!$M$8:$M$500,0)+7,"")</f>
        <v/>
      </c>
    </row>
    <row r="23" customFormat="false" ht="18" hidden="false" customHeight="true" outlineLevel="0" collapsed="false">
      <c r="A23" s="61" t="str">
        <f aca="false">IF($H23="","",INDEX('Investment Log'!$B:$B,$H23))</f>
        <v/>
      </c>
      <c r="B23" s="51" t="str">
        <f aca="false">IF($H23="","",T(INDEX('Investment Log'!$D:$D,$H23)))</f>
        <v/>
      </c>
      <c r="C23" s="62" t="str">
        <f aca="false">IF($H23="","",INDEX('Investment Log'!$E:$E,$H23))</f>
        <v/>
      </c>
      <c r="D23" s="20" t="str">
        <f aca="false">IF($H23="","",T(INDEX('Investment Log'!$G:$G,$H23)))</f>
        <v/>
      </c>
      <c r="E23" s="20" t="str">
        <f aca="false">IF($H23="","",T(INDEX('Investment Log'!$H:$H,$H23)))</f>
        <v/>
      </c>
      <c r="F23" s="25" t="str">
        <f aca="false">IF($H23="","",SUM($C$8:$C23))</f>
        <v/>
      </c>
      <c r="H23" s="0" t="str">
        <f aca="false">IFERROR(MATCH("Fixed Deposit|"&amp;16,'Investment Log'!$M$8:$M$500,0)+7,"")</f>
        <v/>
      </c>
    </row>
    <row r="24" customFormat="false" ht="18" hidden="false" customHeight="true" outlineLevel="0" collapsed="false">
      <c r="A24" s="56" t="str">
        <f aca="false">IF($H24="","",INDEX('Investment Log'!$B:$B,$H24))</f>
        <v/>
      </c>
      <c r="B24" s="57" t="str">
        <f aca="false">IF($H24="","",T(INDEX('Investment Log'!$D:$D,$H24)))</f>
        <v/>
      </c>
      <c r="C24" s="58" t="str">
        <f aca="false">IF($H24="","",INDEX('Investment Log'!$E:$E,$H24))</f>
        <v/>
      </c>
      <c r="D24" s="10" t="str">
        <f aca="false">IF($H24="","",T(INDEX('Investment Log'!$G:$G,$H24)))</f>
        <v/>
      </c>
      <c r="E24" s="10" t="str">
        <f aca="false">IF($H24="","",T(INDEX('Investment Log'!$H:$H,$H24)))</f>
        <v/>
      </c>
      <c r="F24" s="15" t="str">
        <f aca="false">IF($H24="","",SUM($C$8:$C24))</f>
        <v/>
      </c>
      <c r="H24" s="0" t="str">
        <f aca="false">IFERROR(MATCH("Fixed Deposit|"&amp;17,'Investment Log'!$M$8:$M$500,0)+7,"")</f>
        <v/>
      </c>
    </row>
    <row r="25" customFormat="false" ht="18" hidden="false" customHeight="true" outlineLevel="0" collapsed="false">
      <c r="A25" s="61" t="str">
        <f aca="false">IF($H25="","",INDEX('Investment Log'!$B:$B,$H25))</f>
        <v/>
      </c>
      <c r="B25" s="51" t="str">
        <f aca="false">IF($H25="","",T(INDEX('Investment Log'!$D:$D,$H25)))</f>
        <v/>
      </c>
      <c r="C25" s="62" t="str">
        <f aca="false">IF($H25="","",INDEX('Investment Log'!$E:$E,$H25))</f>
        <v/>
      </c>
      <c r="D25" s="20" t="str">
        <f aca="false">IF($H25="","",T(INDEX('Investment Log'!$G:$G,$H25)))</f>
        <v/>
      </c>
      <c r="E25" s="20" t="str">
        <f aca="false">IF($H25="","",T(INDEX('Investment Log'!$H:$H,$H25)))</f>
        <v/>
      </c>
      <c r="F25" s="25" t="str">
        <f aca="false">IF($H25="","",SUM($C$8:$C25))</f>
        <v/>
      </c>
      <c r="H25" s="0" t="str">
        <f aca="false">IFERROR(MATCH("Fixed Deposit|"&amp;18,'Investment Log'!$M$8:$M$500,0)+7,"")</f>
        <v/>
      </c>
    </row>
    <row r="26" customFormat="false" ht="18" hidden="false" customHeight="true" outlineLevel="0" collapsed="false">
      <c r="A26" s="56" t="str">
        <f aca="false">IF($H26="","",INDEX('Investment Log'!$B:$B,$H26))</f>
        <v/>
      </c>
      <c r="B26" s="57" t="str">
        <f aca="false">IF($H26="","",T(INDEX('Investment Log'!$D:$D,$H26)))</f>
        <v/>
      </c>
      <c r="C26" s="58" t="str">
        <f aca="false">IF($H26="","",INDEX('Investment Log'!$E:$E,$H26))</f>
        <v/>
      </c>
      <c r="D26" s="10" t="str">
        <f aca="false">IF($H26="","",T(INDEX('Investment Log'!$G:$G,$H26)))</f>
        <v/>
      </c>
      <c r="E26" s="10" t="str">
        <f aca="false">IF($H26="","",T(INDEX('Investment Log'!$H:$H,$H26)))</f>
        <v/>
      </c>
      <c r="F26" s="15" t="str">
        <f aca="false">IF($H26="","",SUM($C$8:$C26))</f>
        <v/>
      </c>
      <c r="H26" s="0" t="str">
        <f aca="false">IFERROR(MATCH("Fixed Deposit|"&amp;19,'Investment Log'!$M$8:$M$500,0)+7,"")</f>
        <v/>
      </c>
    </row>
    <row r="27" customFormat="false" ht="18" hidden="false" customHeight="true" outlineLevel="0" collapsed="false">
      <c r="A27" s="61" t="str">
        <f aca="false">IF($H27="","",INDEX('Investment Log'!$B:$B,$H27))</f>
        <v/>
      </c>
      <c r="B27" s="51" t="str">
        <f aca="false">IF($H27="","",T(INDEX('Investment Log'!$D:$D,$H27)))</f>
        <v/>
      </c>
      <c r="C27" s="62" t="str">
        <f aca="false">IF($H27="","",INDEX('Investment Log'!$E:$E,$H27))</f>
        <v/>
      </c>
      <c r="D27" s="20" t="str">
        <f aca="false">IF($H27="","",T(INDEX('Investment Log'!$G:$G,$H27)))</f>
        <v/>
      </c>
      <c r="E27" s="20" t="str">
        <f aca="false">IF($H27="","",T(INDEX('Investment Log'!$H:$H,$H27)))</f>
        <v/>
      </c>
      <c r="F27" s="25" t="str">
        <f aca="false">IF($H27="","",SUM($C$8:$C27))</f>
        <v/>
      </c>
      <c r="H27" s="0" t="str">
        <f aca="false">IFERROR(MATCH("Fixed Deposit|"&amp;20,'Investment Log'!$M$8:$M$500,0)+7,"")</f>
        <v/>
      </c>
    </row>
    <row r="28" customFormat="false" ht="18" hidden="false" customHeight="true" outlineLevel="0" collapsed="false">
      <c r="A28" s="56" t="str">
        <f aca="false">IF($H28="","",INDEX('Investment Log'!$B:$B,$H28))</f>
        <v/>
      </c>
      <c r="B28" s="57" t="str">
        <f aca="false">IF($H28="","",T(INDEX('Investment Log'!$D:$D,$H28)))</f>
        <v/>
      </c>
      <c r="C28" s="58" t="str">
        <f aca="false">IF($H28="","",INDEX('Investment Log'!$E:$E,$H28))</f>
        <v/>
      </c>
      <c r="D28" s="10" t="str">
        <f aca="false">IF($H28="","",T(INDEX('Investment Log'!$G:$G,$H28)))</f>
        <v/>
      </c>
      <c r="E28" s="10" t="str">
        <f aca="false">IF($H28="","",T(INDEX('Investment Log'!$H:$H,$H28)))</f>
        <v/>
      </c>
      <c r="F28" s="15" t="str">
        <f aca="false">IF($H28="","",SUM($C$8:$C28))</f>
        <v/>
      </c>
      <c r="H28" s="0" t="str">
        <f aca="false">IFERROR(MATCH("Fixed Deposit|"&amp;21,'Investment Log'!$M$8:$M$500,0)+7,"")</f>
        <v/>
      </c>
    </row>
    <row r="29" customFormat="false" ht="18" hidden="false" customHeight="true" outlineLevel="0" collapsed="false">
      <c r="A29" s="61" t="str">
        <f aca="false">IF($H29="","",INDEX('Investment Log'!$B:$B,$H29))</f>
        <v/>
      </c>
      <c r="B29" s="51" t="str">
        <f aca="false">IF($H29="","",T(INDEX('Investment Log'!$D:$D,$H29)))</f>
        <v/>
      </c>
      <c r="C29" s="62" t="str">
        <f aca="false">IF($H29="","",INDEX('Investment Log'!$E:$E,$H29))</f>
        <v/>
      </c>
      <c r="D29" s="20" t="str">
        <f aca="false">IF($H29="","",T(INDEX('Investment Log'!$G:$G,$H29)))</f>
        <v/>
      </c>
      <c r="E29" s="20" t="str">
        <f aca="false">IF($H29="","",T(INDEX('Investment Log'!$H:$H,$H29)))</f>
        <v/>
      </c>
      <c r="F29" s="25" t="str">
        <f aca="false">IF($H29="","",SUM($C$8:$C29))</f>
        <v/>
      </c>
      <c r="H29" s="0" t="str">
        <f aca="false">IFERROR(MATCH("Fixed Deposit|"&amp;22,'Investment Log'!$M$8:$M$500,0)+7,"")</f>
        <v/>
      </c>
    </row>
    <row r="30" customFormat="false" ht="18" hidden="false" customHeight="true" outlineLevel="0" collapsed="false">
      <c r="A30" s="56" t="str">
        <f aca="false">IF($H30="","",INDEX('Investment Log'!$B:$B,$H30))</f>
        <v/>
      </c>
      <c r="B30" s="57" t="str">
        <f aca="false">IF($H30="","",T(INDEX('Investment Log'!$D:$D,$H30)))</f>
        <v/>
      </c>
      <c r="C30" s="58" t="str">
        <f aca="false">IF($H30="","",INDEX('Investment Log'!$E:$E,$H30))</f>
        <v/>
      </c>
      <c r="D30" s="10" t="str">
        <f aca="false">IF($H30="","",T(INDEX('Investment Log'!$G:$G,$H30)))</f>
        <v/>
      </c>
      <c r="E30" s="10" t="str">
        <f aca="false">IF($H30="","",T(INDEX('Investment Log'!$H:$H,$H30)))</f>
        <v/>
      </c>
      <c r="F30" s="15" t="str">
        <f aca="false">IF($H30="","",SUM($C$8:$C30))</f>
        <v/>
      </c>
      <c r="H30" s="0" t="str">
        <f aca="false">IFERROR(MATCH("Fixed Deposit|"&amp;23,'Investment Log'!$M$8:$M$500,0)+7,"")</f>
        <v/>
      </c>
    </row>
    <row r="31" customFormat="false" ht="18" hidden="false" customHeight="true" outlineLevel="0" collapsed="false">
      <c r="A31" s="61" t="str">
        <f aca="false">IF($H31="","",INDEX('Investment Log'!$B:$B,$H31))</f>
        <v/>
      </c>
      <c r="B31" s="51" t="str">
        <f aca="false">IF($H31="","",T(INDEX('Investment Log'!$D:$D,$H31)))</f>
        <v/>
      </c>
      <c r="C31" s="62" t="str">
        <f aca="false">IF($H31="","",INDEX('Investment Log'!$E:$E,$H31))</f>
        <v/>
      </c>
      <c r="D31" s="20" t="str">
        <f aca="false">IF($H31="","",T(INDEX('Investment Log'!$G:$G,$H31)))</f>
        <v/>
      </c>
      <c r="E31" s="20" t="str">
        <f aca="false">IF($H31="","",T(INDEX('Investment Log'!$H:$H,$H31)))</f>
        <v/>
      </c>
      <c r="F31" s="25" t="str">
        <f aca="false">IF($H31="","",SUM($C$8:$C31))</f>
        <v/>
      </c>
      <c r="H31" s="0" t="str">
        <f aca="false">IFERROR(MATCH("Fixed Deposit|"&amp;24,'Investment Log'!$M$8:$M$500,0)+7,"")</f>
        <v/>
      </c>
    </row>
    <row r="32" customFormat="false" ht="18" hidden="false" customHeight="true" outlineLevel="0" collapsed="false">
      <c r="A32" s="56" t="str">
        <f aca="false">IF($H32="","",INDEX('Investment Log'!$B:$B,$H32))</f>
        <v/>
      </c>
      <c r="B32" s="57" t="str">
        <f aca="false">IF($H32="","",T(INDEX('Investment Log'!$D:$D,$H32)))</f>
        <v/>
      </c>
      <c r="C32" s="58" t="str">
        <f aca="false">IF($H32="","",INDEX('Investment Log'!$E:$E,$H32))</f>
        <v/>
      </c>
      <c r="D32" s="10" t="str">
        <f aca="false">IF($H32="","",T(INDEX('Investment Log'!$G:$G,$H32)))</f>
        <v/>
      </c>
      <c r="E32" s="10" t="str">
        <f aca="false">IF($H32="","",T(INDEX('Investment Log'!$H:$H,$H32)))</f>
        <v/>
      </c>
      <c r="F32" s="15" t="str">
        <f aca="false">IF($H32="","",SUM($C$8:$C32))</f>
        <v/>
      </c>
      <c r="H32" s="0" t="str">
        <f aca="false">IFERROR(MATCH("Fixed Deposit|"&amp;25,'Investment Log'!$M$8:$M$500,0)+7,"")</f>
        <v/>
      </c>
    </row>
    <row r="33" customFormat="false" ht="18" hidden="false" customHeight="true" outlineLevel="0" collapsed="false">
      <c r="A33" s="61" t="str">
        <f aca="false">IF($H33="","",INDEX('Investment Log'!$B:$B,$H33))</f>
        <v/>
      </c>
      <c r="B33" s="51" t="str">
        <f aca="false">IF($H33="","",T(INDEX('Investment Log'!$D:$D,$H33)))</f>
        <v/>
      </c>
      <c r="C33" s="62" t="str">
        <f aca="false">IF($H33="","",INDEX('Investment Log'!$E:$E,$H33))</f>
        <v/>
      </c>
      <c r="D33" s="20" t="str">
        <f aca="false">IF($H33="","",T(INDEX('Investment Log'!$G:$G,$H33)))</f>
        <v/>
      </c>
      <c r="E33" s="20" t="str">
        <f aca="false">IF($H33="","",T(INDEX('Investment Log'!$H:$H,$H33)))</f>
        <v/>
      </c>
      <c r="F33" s="25" t="str">
        <f aca="false">IF($H33="","",SUM($C$8:$C33))</f>
        <v/>
      </c>
      <c r="H33" s="0" t="str">
        <f aca="false">IFERROR(MATCH("Fixed Deposit|"&amp;26,'Investment Log'!$M$8:$M$500,0)+7,"")</f>
        <v/>
      </c>
    </row>
    <row r="34" customFormat="false" ht="18" hidden="false" customHeight="true" outlineLevel="0" collapsed="false">
      <c r="A34" s="56" t="str">
        <f aca="false">IF($H34="","",INDEX('Investment Log'!$B:$B,$H34))</f>
        <v/>
      </c>
      <c r="B34" s="57" t="str">
        <f aca="false">IF($H34="","",T(INDEX('Investment Log'!$D:$D,$H34)))</f>
        <v/>
      </c>
      <c r="C34" s="58" t="str">
        <f aca="false">IF($H34="","",INDEX('Investment Log'!$E:$E,$H34))</f>
        <v/>
      </c>
      <c r="D34" s="10" t="str">
        <f aca="false">IF($H34="","",T(INDEX('Investment Log'!$G:$G,$H34)))</f>
        <v/>
      </c>
      <c r="E34" s="10" t="str">
        <f aca="false">IF($H34="","",T(INDEX('Investment Log'!$H:$H,$H34)))</f>
        <v/>
      </c>
      <c r="F34" s="15" t="str">
        <f aca="false">IF($H34="","",SUM($C$8:$C34))</f>
        <v/>
      </c>
      <c r="H34" s="0" t="str">
        <f aca="false">IFERROR(MATCH("Fixed Deposit|"&amp;27,'Investment Log'!$M$8:$M$500,0)+7,"")</f>
        <v/>
      </c>
    </row>
    <row r="35" customFormat="false" ht="18" hidden="false" customHeight="true" outlineLevel="0" collapsed="false">
      <c r="A35" s="61" t="str">
        <f aca="false">IF($H35="","",INDEX('Investment Log'!$B:$B,$H35))</f>
        <v/>
      </c>
      <c r="B35" s="51" t="str">
        <f aca="false">IF($H35="","",T(INDEX('Investment Log'!$D:$D,$H35)))</f>
        <v/>
      </c>
      <c r="C35" s="62" t="str">
        <f aca="false">IF($H35="","",INDEX('Investment Log'!$E:$E,$H35))</f>
        <v/>
      </c>
      <c r="D35" s="20" t="str">
        <f aca="false">IF($H35="","",T(INDEX('Investment Log'!$G:$G,$H35)))</f>
        <v/>
      </c>
      <c r="E35" s="20" t="str">
        <f aca="false">IF($H35="","",T(INDEX('Investment Log'!$H:$H,$H35)))</f>
        <v/>
      </c>
      <c r="F35" s="25" t="str">
        <f aca="false">IF($H35="","",SUM($C$8:$C35))</f>
        <v/>
      </c>
      <c r="H35" s="0" t="str">
        <f aca="false">IFERROR(MATCH("Fixed Deposit|"&amp;28,'Investment Log'!$M$8:$M$500,0)+7,"")</f>
        <v/>
      </c>
    </row>
    <row r="36" customFormat="false" ht="18" hidden="false" customHeight="true" outlineLevel="0" collapsed="false">
      <c r="A36" s="56" t="str">
        <f aca="false">IF($H36="","",INDEX('Investment Log'!$B:$B,$H36))</f>
        <v/>
      </c>
      <c r="B36" s="57" t="str">
        <f aca="false">IF($H36="","",T(INDEX('Investment Log'!$D:$D,$H36)))</f>
        <v/>
      </c>
      <c r="C36" s="58" t="str">
        <f aca="false">IF($H36="","",INDEX('Investment Log'!$E:$E,$H36))</f>
        <v/>
      </c>
      <c r="D36" s="10" t="str">
        <f aca="false">IF($H36="","",T(INDEX('Investment Log'!$G:$G,$H36)))</f>
        <v/>
      </c>
      <c r="E36" s="10" t="str">
        <f aca="false">IF($H36="","",T(INDEX('Investment Log'!$H:$H,$H36)))</f>
        <v/>
      </c>
      <c r="F36" s="15" t="str">
        <f aca="false">IF($H36="","",SUM($C$8:$C36))</f>
        <v/>
      </c>
      <c r="H36" s="0" t="str">
        <f aca="false">IFERROR(MATCH("Fixed Deposit|"&amp;29,'Investment Log'!$M$8:$M$500,0)+7,"")</f>
        <v/>
      </c>
    </row>
    <row r="37" customFormat="false" ht="18" hidden="false" customHeight="true" outlineLevel="0" collapsed="false">
      <c r="A37" s="61" t="str">
        <f aca="false">IF($H37="","",INDEX('Investment Log'!$B:$B,$H37))</f>
        <v/>
      </c>
      <c r="B37" s="51" t="str">
        <f aca="false">IF($H37="","",T(INDEX('Investment Log'!$D:$D,$H37)))</f>
        <v/>
      </c>
      <c r="C37" s="62" t="str">
        <f aca="false">IF($H37="","",INDEX('Investment Log'!$E:$E,$H37))</f>
        <v/>
      </c>
      <c r="D37" s="20" t="str">
        <f aca="false">IF($H37="","",T(INDEX('Investment Log'!$G:$G,$H37)))</f>
        <v/>
      </c>
      <c r="E37" s="20" t="str">
        <f aca="false">IF($H37="","",T(INDEX('Investment Log'!$H:$H,$H37)))</f>
        <v/>
      </c>
      <c r="F37" s="25" t="str">
        <f aca="false">IF($H37="","",SUM($C$8:$C37))</f>
        <v/>
      </c>
      <c r="H37" s="0" t="str">
        <f aca="false">IFERROR(MATCH("Fixed Deposit|"&amp;30,'Investment Log'!$M$8:$M$500,0)+7,"")</f>
        <v/>
      </c>
    </row>
    <row r="38" customFormat="false" ht="18" hidden="false" customHeight="true" outlineLevel="0" collapsed="false">
      <c r="A38" s="56" t="str">
        <f aca="false">IF($H38="","",INDEX('Investment Log'!$B:$B,$H38))</f>
        <v/>
      </c>
      <c r="B38" s="57" t="str">
        <f aca="false">IF($H38="","",T(INDEX('Investment Log'!$D:$D,$H38)))</f>
        <v/>
      </c>
      <c r="C38" s="58" t="str">
        <f aca="false">IF($H38="","",INDEX('Investment Log'!$E:$E,$H38))</f>
        <v/>
      </c>
      <c r="D38" s="10" t="str">
        <f aca="false">IF($H38="","",T(INDEX('Investment Log'!$G:$G,$H38)))</f>
        <v/>
      </c>
      <c r="E38" s="10" t="str">
        <f aca="false">IF($H38="","",T(INDEX('Investment Log'!$H:$H,$H38)))</f>
        <v/>
      </c>
      <c r="F38" s="15" t="str">
        <f aca="false">IF($H38="","",SUM($C$8:$C38))</f>
        <v/>
      </c>
      <c r="H38" s="0" t="str">
        <f aca="false">IFERROR(MATCH("Fixed Deposit|"&amp;31,'Investment Log'!$M$8:$M$500,0)+7,"")</f>
        <v/>
      </c>
    </row>
    <row r="39" customFormat="false" ht="18" hidden="false" customHeight="true" outlineLevel="0" collapsed="false">
      <c r="A39" s="61" t="str">
        <f aca="false">IF($H39="","",INDEX('Investment Log'!$B:$B,$H39))</f>
        <v/>
      </c>
      <c r="B39" s="51" t="str">
        <f aca="false">IF($H39="","",T(INDEX('Investment Log'!$D:$D,$H39)))</f>
        <v/>
      </c>
      <c r="C39" s="62" t="str">
        <f aca="false">IF($H39="","",INDEX('Investment Log'!$E:$E,$H39))</f>
        <v/>
      </c>
      <c r="D39" s="20" t="str">
        <f aca="false">IF($H39="","",T(INDEX('Investment Log'!$G:$G,$H39)))</f>
        <v/>
      </c>
      <c r="E39" s="20" t="str">
        <f aca="false">IF($H39="","",T(INDEX('Investment Log'!$H:$H,$H39)))</f>
        <v/>
      </c>
      <c r="F39" s="25" t="str">
        <f aca="false">IF($H39="","",SUM($C$8:$C39))</f>
        <v/>
      </c>
      <c r="H39" s="0" t="str">
        <f aca="false">IFERROR(MATCH("Fixed Deposit|"&amp;32,'Investment Log'!$M$8:$M$500,0)+7,"")</f>
        <v/>
      </c>
    </row>
    <row r="40" customFormat="false" ht="18" hidden="false" customHeight="true" outlineLevel="0" collapsed="false">
      <c r="A40" s="56" t="str">
        <f aca="false">IF($H40="","",INDEX('Investment Log'!$B:$B,$H40))</f>
        <v/>
      </c>
      <c r="B40" s="57" t="str">
        <f aca="false">IF($H40="","",T(INDEX('Investment Log'!$D:$D,$H40)))</f>
        <v/>
      </c>
      <c r="C40" s="58" t="str">
        <f aca="false">IF($H40="","",INDEX('Investment Log'!$E:$E,$H40))</f>
        <v/>
      </c>
      <c r="D40" s="10" t="str">
        <f aca="false">IF($H40="","",T(INDEX('Investment Log'!$G:$G,$H40)))</f>
        <v/>
      </c>
      <c r="E40" s="10" t="str">
        <f aca="false">IF($H40="","",T(INDEX('Investment Log'!$H:$H,$H40)))</f>
        <v/>
      </c>
      <c r="F40" s="15" t="str">
        <f aca="false">IF($H40="","",SUM($C$8:$C40))</f>
        <v/>
      </c>
      <c r="H40" s="0" t="str">
        <f aca="false">IFERROR(MATCH("Fixed Deposit|"&amp;33,'Investment Log'!$M$8:$M$500,0)+7,"")</f>
        <v/>
      </c>
    </row>
    <row r="41" customFormat="false" ht="18" hidden="false" customHeight="true" outlineLevel="0" collapsed="false">
      <c r="A41" s="61" t="str">
        <f aca="false">IF($H41="","",INDEX('Investment Log'!$B:$B,$H41))</f>
        <v/>
      </c>
      <c r="B41" s="51" t="str">
        <f aca="false">IF($H41="","",T(INDEX('Investment Log'!$D:$D,$H41)))</f>
        <v/>
      </c>
      <c r="C41" s="62" t="str">
        <f aca="false">IF($H41="","",INDEX('Investment Log'!$E:$E,$H41))</f>
        <v/>
      </c>
      <c r="D41" s="20" t="str">
        <f aca="false">IF($H41="","",T(INDEX('Investment Log'!$G:$G,$H41)))</f>
        <v/>
      </c>
      <c r="E41" s="20" t="str">
        <f aca="false">IF($H41="","",T(INDEX('Investment Log'!$H:$H,$H41)))</f>
        <v/>
      </c>
      <c r="F41" s="25" t="str">
        <f aca="false">IF($H41="","",SUM($C$8:$C41))</f>
        <v/>
      </c>
      <c r="H41" s="0" t="str">
        <f aca="false">IFERROR(MATCH("Fixed Deposit|"&amp;34,'Investment Log'!$M$8:$M$500,0)+7,"")</f>
        <v/>
      </c>
    </row>
    <row r="42" customFormat="false" ht="18" hidden="false" customHeight="true" outlineLevel="0" collapsed="false">
      <c r="A42" s="56" t="str">
        <f aca="false">IF($H42="","",INDEX('Investment Log'!$B:$B,$H42))</f>
        <v/>
      </c>
      <c r="B42" s="57" t="str">
        <f aca="false">IF($H42="","",T(INDEX('Investment Log'!$D:$D,$H42)))</f>
        <v/>
      </c>
      <c r="C42" s="58" t="str">
        <f aca="false">IF($H42="","",INDEX('Investment Log'!$E:$E,$H42))</f>
        <v/>
      </c>
      <c r="D42" s="10" t="str">
        <f aca="false">IF($H42="","",T(INDEX('Investment Log'!$G:$G,$H42)))</f>
        <v/>
      </c>
      <c r="E42" s="10" t="str">
        <f aca="false">IF($H42="","",T(INDEX('Investment Log'!$H:$H,$H42)))</f>
        <v/>
      </c>
      <c r="F42" s="15" t="str">
        <f aca="false">IF($H42="","",SUM($C$8:$C42))</f>
        <v/>
      </c>
      <c r="H42" s="0" t="str">
        <f aca="false">IFERROR(MATCH("Fixed Deposit|"&amp;35,'Investment Log'!$M$8:$M$500,0)+7,"")</f>
        <v/>
      </c>
    </row>
    <row r="43" customFormat="false" ht="18" hidden="false" customHeight="true" outlineLevel="0" collapsed="false">
      <c r="A43" s="61" t="str">
        <f aca="false">IF($H43="","",INDEX('Investment Log'!$B:$B,$H43))</f>
        <v/>
      </c>
      <c r="B43" s="51" t="str">
        <f aca="false">IF($H43="","",T(INDEX('Investment Log'!$D:$D,$H43)))</f>
        <v/>
      </c>
      <c r="C43" s="62" t="str">
        <f aca="false">IF($H43="","",INDEX('Investment Log'!$E:$E,$H43))</f>
        <v/>
      </c>
      <c r="D43" s="20" t="str">
        <f aca="false">IF($H43="","",T(INDEX('Investment Log'!$G:$G,$H43)))</f>
        <v/>
      </c>
      <c r="E43" s="20" t="str">
        <f aca="false">IF($H43="","",T(INDEX('Investment Log'!$H:$H,$H43)))</f>
        <v/>
      </c>
      <c r="F43" s="25" t="str">
        <f aca="false">IF($H43="","",SUM($C$8:$C43))</f>
        <v/>
      </c>
      <c r="H43" s="0" t="str">
        <f aca="false">IFERROR(MATCH("Fixed Deposit|"&amp;36,'Investment Log'!$M$8:$M$500,0)+7,"")</f>
        <v/>
      </c>
    </row>
    <row r="44" customFormat="false" ht="18" hidden="false" customHeight="true" outlineLevel="0" collapsed="false">
      <c r="A44" s="56" t="str">
        <f aca="false">IF($H44="","",INDEX('Investment Log'!$B:$B,$H44))</f>
        <v/>
      </c>
      <c r="B44" s="57" t="str">
        <f aca="false">IF($H44="","",T(INDEX('Investment Log'!$D:$D,$H44)))</f>
        <v/>
      </c>
      <c r="C44" s="58" t="str">
        <f aca="false">IF($H44="","",INDEX('Investment Log'!$E:$E,$H44))</f>
        <v/>
      </c>
      <c r="D44" s="10" t="str">
        <f aca="false">IF($H44="","",T(INDEX('Investment Log'!$G:$G,$H44)))</f>
        <v/>
      </c>
      <c r="E44" s="10" t="str">
        <f aca="false">IF($H44="","",T(INDEX('Investment Log'!$H:$H,$H44)))</f>
        <v/>
      </c>
      <c r="F44" s="15" t="str">
        <f aca="false">IF($H44="","",SUM($C$8:$C44))</f>
        <v/>
      </c>
      <c r="H44" s="0" t="str">
        <f aca="false">IFERROR(MATCH("Fixed Deposit|"&amp;37,'Investment Log'!$M$8:$M$500,0)+7,"")</f>
        <v/>
      </c>
    </row>
    <row r="45" customFormat="false" ht="18" hidden="false" customHeight="true" outlineLevel="0" collapsed="false">
      <c r="A45" s="61" t="str">
        <f aca="false">IF($H45="","",INDEX('Investment Log'!$B:$B,$H45))</f>
        <v/>
      </c>
      <c r="B45" s="51" t="str">
        <f aca="false">IF($H45="","",T(INDEX('Investment Log'!$D:$D,$H45)))</f>
        <v/>
      </c>
      <c r="C45" s="62" t="str">
        <f aca="false">IF($H45="","",INDEX('Investment Log'!$E:$E,$H45))</f>
        <v/>
      </c>
      <c r="D45" s="20" t="str">
        <f aca="false">IF($H45="","",T(INDEX('Investment Log'!$G:$G,$H45)))</f>
        <v/>
      </c>
      <c r="E45" s="20" t="str">
        <f aca="false">IF($H45="","",T(INDEX('Investment Log'!$H:$H,$H45)))</f>
        <v/>
      </c>
      <c r="F45" s="25" t="str">
        <f aca="false">IF($H45="","",SUM($C$8:$C45))</f>
        <v/>
      </c>
      <c r="H45" s="0" t="str">
        <f aca="false">IFERROR(MATCH("Fixed Deposit|"&amp;38,'Investment Log'!$M$8:$M$500,0)+7,"")</f>
        <v/>
      </c>
    </row>
    <row r="46" customFormat="false" ht="18" hidden="false" customHeight="true" outlineLevel="0" collapsed="false">
      <c r="A46" s="56" t="str">
        <f aca="false">IF($H46="","",INDEX('Investment Log'!$B:$B,$H46))</f>
        <v/>
      </c>
      <c r="B46" s="57" t="str">
        <f aca="false">IF($H46="","",T(INDEX('Investment Log'!$D:$D,$H46)))</f>
        <v/>
      </c>
      <c r="C46" s="58" t="str">
        <f aca="false">IF($H46="","",INDEX('Investment Log'!$E:$E,$H46))</f>
        <v/>
      </c>
      <c r="D46" s="10" t="str">
        <f aca="false">IF($H46="","",T(INDEX('Investment Log'!$G:$G,$H46)))</f>
        <v/>
      </c>
      <c r="E46" s="10" t="str">
        <f aca="false">IF($H46="","",T(INDEX('Investment Log'!$H:$H,$H46)))</f>
        <v/>
      </c>
      <c r="F46" s="15" t="str">
        <f aca="false">IF($H46="","",SUM($C$8:$C46))</f>
        <v/>
      </c>
      <c r="H46" s="0" t="str">
        <f aca="false">IFERROR(MATCH("Fixed Deposit|"&amp;39,'Investment Log'!$M$8:$M$500,0)+7,"")</f>
        <v/>
      </c>
    </row>
    <row r="47" customFormat="false" ht="18" hidden="false" customHeight="true" outlineLevel="0" collapsed="false">
      <c r="A47" s="61" t="str">
        <f aca="false">IF($H47="","",INDEX('Investment Log'!$B:$B,$H47))</f>
        <v/>
      </c>
      <c r="B47" s="51" t="str">
        <f aca="false">IF($H47="","",T(INDEX('Investment Log'!$D:$D,$H47)))</f>
        <v/>
      </c>
      <c r="C47" s="62" t="str">
        <f aca="false">IF($H47="","",INDEX('Investment Log'!$E:$E,$H47))</f>
        <v/>
      </c>
      <c r="D47" s="20" t="str">
        <f aca="false">IF($H47="","",T(INDEX('Investment Log'!$G:$G,$H47)))</f>
        <v/>
      </c>
      <c r="E47" s="20" t="str">
        <f aca="false">IF($H47="","",T(INDEX('Investment Log'!$H:$H,$H47)))</f>
        <v/>
      </c>
      <c r="F47" s="25" t="str">
        <f aca="false">IF($H47="","",SUM($C$8:$C47))</f>
        <v/>
      </c>
      <c r="H47" s="0" t="str">
        <f aca="false">IFERROR(MATCH("Fixed Deposit|"&amp;40,'Investment Log'!$M$8:$M$500,0)+7,"")</f>
        <v/>
      </c>
    </row>
    <row r="48" customFormat="false" ht="18" hidden="false" customHeight="true" outlineLevel="0" collapsed="false">
      <c r="A48" s="56" t="str">
        <f aca="false">IF($H48="","",INDEX('Investment Log'!$B:$B,$H48))</f>
        <v/>
      </c>
      <c r="B48" s="57" t="str">
        <f aca="false">IF($H48="","",T(INDEX('Investment Log'!$D:$D,$H48)))</f>
        <v/>
      </c>
      <c r="C48" s="58" t="str">
        <f aca="false">IF($H48="","",INDEX('Investment Log'!$E:$E,$H48))</f>
        <v/>
      </c>
      <c r="D48" s="10" t="str">
        <f aca="false">IF($H48="","",T(INDEX('Investment Log'!$G:$G,$H48)))</f>
        <v/>
      </c>
      <c r="E48" s="10" t="str">
        <f aca="false">IF($H48="","",T(INDEX('Investment Log'!$H:$H,$H48)))</f>
        <v/>
      </c>
      <c r="F48" s="15" t="str">
        <f aca="false">IF($H48="","",SUM($C$8:$C48))</f>
        <v/>
      </c>
      <c r="H48" s="0" t="str">
        <f aca="false">IFERROR(MATCH("Fixed Deposit|"&amp;41,'Investment Log'!$M$8:$M$500,0)+7,"")</f>
        <v/>
      </c>
    </row>
    <row r="49" customFormat="false" ht="18" hidden="false" customHeight="true" outlineLevel="0" collapsed="false">
      <c r="A49" s="61" t="str">
        <f aca="false">IF($H49="","",INDEX('Investment Log'!$B:$B,$H49))</f>
        <v/>
      </c>
      <c r="B49" s="51" t="str">
        <f aca="false">IF($H49="","",T(INDEX('Investment Log'!$D:$D,$H49)))</f>
        <v/>
      </c>
      <c r="C49" s="62" t="str">
        <f aca="false">IF($H49="","",INDEX('Investment Log'!$E:$E,$H49))</f>
        <v/>
      </c>
      <c r="D49" s="20" t="str">
        <f aca="false">IF($H49="","",T(INDEX('Investment Log'!$G:$G,$H49)))</f>
        <v/>
      </c>
      <c r="E49" s="20" t="str">
        <f aca="false">IF($H49="","",T(INDEX('Investment Log'!$H:$H,$H49)))</f>
        <v/>
      </c>
      <c r="F49" s="25" t="str">
        <f aca="false">IF($H49="","",SUM($C$8:$C49))</f>
        <v/>
      </c>
      <c r="H49" s="0" t="str">
        <f aca="false">IFERROR(MATCH("Fixed Deposit|"&amp;42,'Investment Log'!$M$8:$M$500,0)+7,"")</f>
        <v/>
      </c>
    </row>
    <row r="50" customFormat="false" ht="18" hidden="false" customHeight="true" outlineLevel="0" collapsed="false">
      <c r="A50" s="56" t="str">
        <f aca="false">IF($H50="","",INDEX('Investment Log'!$B:$B,$H50))</f>
        <v/>
      </c>
      <c r="B50" s="57" t="str">
        <f aca="false">IF($H50="","",T(INDEX('Investment Log'!$D:$D,$H50)))</f>
        <v/>
      </c>
      <c r="C50" s="58" t="str">
        <f aca="false">IF($H50="","",INDEX('Investment Log'!$E:$E,$H50))</f>
        <v/>
      </c>
      <c r="D50" s="10" t="str">
        <f aca="false">IF($H50="","",T(INDEX('Investment Log'!$G:$G,$H50)))</f>
        <v/>
      </c>
      <c r="E50" s="10" t="str">
        <f aca="false">IF($H50="","",T(INDEX('Investment Log'!$H:$H,$H50)))</f>
        <v/>
      </c>
      <c r="F50" s="15" t="str">
        <f aca="false">IF($H50="","",SUM($C$8:$C50))</f>
        <v/>
      </c>
      <c r="H50" s="0" t="str">
        <f aca="false">IFERROR(MATCH("Fixed Deposit|"&amp;43,'Investment Log'!$M$8:$M$500,0)+7,"")</f>
        <v/>
      </c>
    </row>
    <row r="51" customFormat="false" ht="18" hidden="false" customHeight="true" outlineLevel="0" collapsed="false">
      <c r="A51" s="61" t="str">
        <f aca="false">IF($H51="","",INDEX('Investment Log'!$B:$B,$H51))</f>
        <v/>
      </c>
      <c r="B51" s="51" t="str">
        <f aca="false">IF($H51="","",T(INDEX('Investment Log'!$D:$D,$H51)))</f>
        <v/>
      </c>
      <c r="C51" s="62" t="str">
        <f aca="false">IF($H51="","",INDEX('Investment Log'!$E:$E,$H51))</f>
        <v/>
      </c>
      <c r="D51" s="20" t="str">
        <f aca="false">IF($H51="","",T(INDEX('Investment Log'!$G:$G,$H51)))</f>
        <v/>
      </c>
      <c r="E51" s="20" t="str">
        <f aca="false">IF($H51="","",T(INDEX('Investment Log'!$H:$H,$H51)))</f>
        <v/>
      </c>
      <c r="F51" s="25" t="str">
        <f aca="false">IF($H51="","",SUM($C$8:$C51))</f>
        <v/>
      </c>
      <c r="H51" s="0" t="str">
        <f aca="false">IFERROR(MATCH("Fixed Deposit|"&amp;44,'Investment Log'!$M$8:$M$500,0)+7,"")</f>
        <v/>
      </c>
    </row>
    <row r="52" customFormat="false" ht="18" hidden="false" customHeight="true" outlineLevel="0" collapsed="false">
      <c r="A52" s="56" t="str">
        <f aca="false">IF($H52="","",INDEX('Investment Log'!$B:$B,$H52))</f>
        <v/>
      </c>
      <c r="B52" s="57" t="str">
        <f aca="false">IF($H52="","",T(INDEX('Investment Log'!$D:$D,$H52)))</f>
        <v/>
      </c>
      <c r="C52" s="58" t="str">
        <f aca="false">IF($H52="","",INDEX('Investment Log'!$E:$E,$H52))</f>
        <v/>
      </c>
      <c r="D52" s="10" t="str">
        <f aca="false">IF($H52="","",T(INDEX('Investment Log'!$G:$G,$H52)))</f>
        <v/>
      </c>
      <c r="E52" s="10" t="str">
        <f aca="false">IF($H52="","",T(INDEX('Investment Log'!$H:$H,$H52)))</f>
        <v/>
      </c>
      <c r="F52" s="15" t="str">
        <f aca="false">IF($H52="","",SUM($C$8:$C52))</f>
        <v/>
      </c>
      <c r="H52" s="0" t="str">
        <f aca="false">IFERROR(MATCH("Fixed Deposit|"&amp;45,'Investment Log'!$M$8:$M$500,0)+7,"")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true" outlineLevel="0" max="8" min="8" style="0" width="13"/>
  </cols>
  <sheetData>
    <row r="1" customFormat="false" ht="27.75" hidden="false" customHeight="true" outlineLevel="0" collapsed="false">
      <c r="A1" s="67" t="s">
        <v>174</v>
      </c>
      <c r="B1" s="67"/>
      <c r="C1" s="67"/>
      <c r="D1" s="67"/>
      <c r="E1" s="67"/>
      <c r="F1" s="67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</row>
    <row r="4" customFormat="false" ht="15.75" hidden="false" customHeight="true" outlineLevel="0" collapsed="false">
      <c r="A4" s="3" t="s">
        <v>2</v>
      </c>
      <c r="B4" s="3" t="s">
        <v>4</v>
      </c>
    </row>
    <row r="5" customFormat="false" ht="24" hidden="false" customHeight="true" outlineLevel="0" collapsed="false">
      <c r="A5" s="68" t="n">
        <f aca="false">SUMIF('Investment Log'!$C$8:$C$500,"Mutual Funds",'Investment Log'!$E$8:$E$500)</f>
        <v>200000</v>
      </c>
      <c r="B5" s="55" t="n">
        <f aca="false">COUNTIF('Investment Log'!$C$8:$C$500,"Mutual Funds")</f>
        <v>1</v>
      </c>
    </row>
    <row r="7" customFormat="false" ht="27.75" hidden="false" customHeight="true" outlineLevel="0" collapsed="false">
      <c r="A7" s="7" t="s">
        <v>6</v>
      </c>
      <c r="B7" s="7" t="s">
        <v>8</v>
      </c>
      <c r="C7" s="7" t="s">
        <v>9</v>
      </c>
      <c r="D7" s="7" t="s">
        <v>11</v>
      </c>
      <c r="E7" s="7" t="s">
        <v>12</v>
      </c>
      <c r="F7" s="7" t="s">
        <v>172</v>
      </c>
    </row>
    <row r="8" customFormat="false" ht="18" hidden="false" customHeight="true" outlineLevel="0" collapsed="false">
      <c r="A8" s="56" t="n">
        <f aca="false">IF($H8="","",INDEX('Investment Log'!$B:$B,$H8))</f>
        <v>46054</v>
      </c>
      <c r="B8" s="57" t="str">
        <f aca="false">IF($H8="","",T(INDEX('Investment Log'!$D:$D,$H8)))</f>
        <v>Kuvera portfolio</v>
      </c>
      <c r="C8" s="58" t="n">
        <f aca="false">IF($H8="","",INDEX('Investment Log'!$E:$E,$H8))</f>
        <v>200000</v>
      </c>
      <c r="D8" s="10" t="str">
        <f aca="false">IF($H8="","",T(INDEX('Investment Log'!$G:$G,$H8)))</f>
        <v>Kuvera app</v>
      </c>
      <c r="E8" s="10" t="str">
        <f aca="false">IF($H8="","",T(INDEX('Investment Log'!$H:$H,$H8)))</f>
        <v>Day not specified.</v>
      </c>
      <c r="F8" s="15" t="n">
        <f aca="false">IF($H8="","",SUM($C$8:$C8))</f>
        <v>200000</v>
      </c>
      <c r="H8" s="16" t="n">
        <f aca="false">IFERROR(MATCH("Mutual Funds|"&amp;1,'Investment Log'!$M$8:$M$500,0)+7,"")</f>
        <v>12</v>
      </c>
    </row>
    <row r="9" customFormat="false" ht="18" hidden="false" customHeight="true" outlineLevel="0" collapsed="false">
      <c r="A9" s="61" t="str">
        <f aca="false">IF($H9="","",INDEX('Investment Log'!$B:$B,$H9))</f>
        <v/>
      </c>
      <c r="B9" s="51" t="str">
        <f aca="false">IF($H9="","",T(INDEX('Investment Log'!$D:$D,$H9)))</f>
        <v/>
      </c>
      <c r="C9" s="62" t="str">
        <f aca="false">IF($H9="","",INDEX('Investment Log'!$E:$E,$H9))</f>
        <v/>
      </c>
      <c r="D9" s="20" t="str">
        <f aca="false">IF($H9="","",T(INDEX('Investment Log'!$G:$G,$H9)))</f>
        <v/>
      </c>
      <c r="E9" s="20" t="str">
        <f aca="false">IF($H9="","",T(INDEX('Investment Log'!$H:$H,$H9)))</f>
        <v/>
      </c>
      <c r="F9" s="25" t="str">
        <f aca="false">IF($H9="","",SUM($C$8:$C9))</f>
        <v/>
      </c>
      <c r="H9" s="0" t="str">
        <f aca="false">IFERROR(MATCH("Mutual Funds|"&amp;2,'Investment Log'!$M$8:$M$500,0)+7,"")</f>
        <v/>
      </c>
    </row>
    <row r="10" customFormat="false" ht="18" hidden="false" customHeight="true" outlineLevel="0" collapsed="false">
      <c r="A10" s="56" t="str">
        <f aca="false">IF($H10="","",INDEX('Investment Log'!$B:$B,$H10))</f>
        <v/>
      </c>
      <c r="B10" s="57" t="str">
        <f aca="false">IF($H10="","",T(INDEX('Investment Log'!$D:$D,$H10)))</f>
        <v/>
      </c>
      <c r="C10" s="58" t="str">
        <f aca="false">IF($H10="","",INDEX('Investment Log'!$E:$E,$H10))</f>
        <v/>
      </c>
      <c r="D10" s="10" t="str">
        <f aca="false">IF($H10="","",T(INDEX('Investment Log'!$G:$G,$H10)))</f>
        <v/>
      </c>
      <c r="E10" s="10" t="str">
        <f aca="false">IF($H10="","",T(INDEX('Investment Log'!$H:$H,$H10)))</f>
        <v/>
      </c>
      <c r="F10" s="15" t="str">
        <f aca="false">IF($H10="","",SUM($C$8:$C10))</f>
        <v/>
      </c>
      <c r="H10" s="0" t="str">
        <f aca="false">IFERROR(MATCH("Mutual Funds|"&amp;3,'Investment Log'!$M$8:$M$500,0)+7,"")</f>
        <v/>
      </c>
    </row>
    <row r="11" customFormat="false" ht="18" hidden="false" customHeight="true" outlineLevel="0" collapsed="false">
      <c r="A11" s="61" t="str">
        <f aca="false">IF($H11="","",INDEX('Investment Log'!$B:$B,$H11))</f>
        <v/>
      </c>
      <c r="B11" s="51" t="str">
        <f aca="false">IF($H11="","",T(INDEX('Investment Log'!$D:$D,$H11)))</f>
        <v/>
      </c>
      <c r="C11" s="62" t="str">
        <f aca="false">IF($H11="","",INDEX('Investment Log'!$E:$E,$H11))</f>
        <v/>
      </c>
      <c r="D11" s="20" t="str">
        <f aca="false">IF($H11="","",T(INDEX('Investment Log'!$G:$G,$H11)))</f>
        <v/>
      </c>
      <c r="E11" s="20" t="str">
        <f aca="false">IF($H11="","",T(INDEX('Investment Log'!$H:$H,$H11)))</f>
        <v/>
      </c>
      <c r="F11" s="25" t="str">
        <f aca="false">IF($H11="","",SUM($C$8:$C11))</f>
        <v/>
      </c>
      <c r="H11" s="0" t="str">
        <f aca="false">IFERROR(MATCH("Mutual Funds|"&amp;4,'Investment Log'!$M$8:$M$500,0)+7,"")</f>
        <v/>
      </c>
    </row>
    <row r="12" customFormat="false" ht="18" hidden="false" customHeight="true" outlineLevel="0" collapsed="false">
      <c r="A12" s="56" t="str">
        <f aca="false">IF($H12="","",INDEX('Investment Log'!$B:$B,$H12))</f>
        <v/>
      </c>
      <c r="B12" s="57" t="str">
        <f aca="false">IF($H12="","",T(INDEX('Investment Log'!$D:$D,$H12)))</f>
        <v/>
      </c>
      <c r="C12" s="58" t="str">
        <f aca="false">IF($H12="","",INDEX('Investment Log'!$E:$E,$H12))</f>
        <v/>
      </c>
      <c r="D12" s="10" t="str">
        <f aca="false">IF($H12="","",T(INDEX('Investment Log'!$G:$G,$H12)))</f>
        <v/>
      </c>
      <c r="E12" s="10" t="str">
        <f aca="false">IF($H12="","",T(INDEX('Investment Log'!$H:$H,$H12)))</f>
        <v/>
      </c>
      <c r="F12" s="15" t="str">
        <f aca="false">IF($H12="","",SUM($C$8:$C12))</f>
        <v/>
      </c>
      <c r="H12" s="0" t="str">
        <f aca="false">IFERROR(MATCH("Mutual Funds|"&amp;5,'Investment Log'!$M$8:$M$500,0)+7,"")</f>
        <v/>
      </c>
    </row>
    <row r="13" customFormat="false" ht="18" hidden="false" customHeight="true" outlineLevel="0" collapsed="false">
      <c r="A13" s="61" t="str">
        <f aca="false">IF($H13="","",INDEX('Investment Log'!$B:$B,$H13))</f>
        <v/>
      </c>
      <c r="B13" s="51" t="str">
        <f aca="false">IF($H13="","",T(INDEX('Investment Log'!$D:$D,$H13)))</f>
        <v/>
      </c>
      <c r="C13" s="62" t="str">
        <f aca="false">IF($H13="","",INDEX('Investment Log'!$E:$E,$H13))</f>
        <v/>
      </c>
      <c r="D13" s="20" t="str">
        <f aca="false">IF($H13="","",T(INDEX('Investment Log'!$G:$G,$H13)))</f>
        <v/>
      </c>
      <c r="E13" s="20" t="str">
        <f aca="false">IF($H13="","",T(INDEX('Investment Log'!$H:$H,$H13)))</f>
        <v/>
      </c>
      <c r="F13" s="25" t="str">
        <f aca="false">IF($H13="","",SUM($C$8:$C13))</f>
        <v/>
      </c>
      <c r="H13" s="0" t="str">
        <f aca="false">IFERROR(MATCH("Mutual Funds|"&amp;6,'Investment Log'!$M$8:$M$500,0)+7,"")</f>
        <v/>
      </c>
    </row>
    <row r="14" customFormat="false" ht="18" hidden="false" customHeight="true" outlineLevel="0" collapsed="false">
      <c r="A14" s="56" t="str">
        <f aca="false">IF($H14="","",INDEX('Investment Log'!$B:$B,$H14))</f>
        <v/>
      </c>
      <c r="B14" s="57" t="str">
        <f aca="false">IF($H14="","",T(INDEX('Investment Log'!$D:$D,$H14)))</f>
        <v/>
      </c>
      <c r="C14" s="58" t="str">
        <f aca="false">IF($H14="","",INDEX('Investment Log'!$E:$E,$H14))</f>
        <v/>
      </c>
      <c r="D14" s="10" t="str">
        <f aca="false">IF($H14="","",T(INDEX('Investment Log'!$G:$G,$H14)))</f>
        <v/>
      </c>
      <c r="E14" s="10" t="str">
        <f aca="false">IF($H14="","",T(INDEX('Investment Log'!$H:$H,$H14)))</f>
        <v/>
      </c>
      <c r="F14" s="15" t="str">
        <f aca="false">IF($H14="","",SUM($C$8:$C14))</f>
        <v/>
      </c>
      <c r="H14" s="0" t="str">
        <f aca="false">IFERROR(MATCH("Mutual Funds|"&amp;7,'Investment Log'!$M$8:$M$500,0)+7,"")</f>
        <v/>
      </c>
    </row>
    <row r="15" customFormat="false" ht="18" hidden="false" customHeight="true" outlineLevel="0" collapsed="false">
      <c r="A15" s="61" t="str">
        <f aca="false">IF($H15="","",INDEX('Investment Log'!$B:$B,$H15))</f>
        <v/>
      </c>
      <c r="B15" s="51" t="str">
        <f aca="false">IF($H15="","",T(INDEX('Investment Log'!$D:$D,$H15)))</f>
        <v/>
      </c>
      <c r="C15" s="62" t="str">
        <f aca="false">IF($H15="","",INDEX('Investment Log'!$E:$E,$H15))</f>
        <v/>
      </c>
      <c r="D15" s="20" t="str">
        <f aca="false">IF($H15="","",T(INDEX('Investment Log'!$G:$G,$H15)))</f>
        <v/>
      </c>
      <c r="E15" s="20" t="str">
        <f aca="false">IF($H15="","",T(INDEX('Investment Log'!$H:$H,$H15)))</f>
        <v/>
      </c>
      <c r="F15" s="25" t="str">
        <f aca="false">IF($H15="","",SUM($C$8:$C15))</f>
        <v/>
      </c>
      <c r="H15" s="0" t="str">
        <f aca="false">IFERROR(MATCH("Mutual Funds|"&amp;8,'Investment Log'!$M$8:$M$500,0)+7,"")</f>
        <v/>
      </c>
    </row>
    <row r="16" customFormat="false" ht="18" hidden="false" customHeight="true" outlineLevel="0" collapsed="false">
      <c r="A16" s="56" t="str">
        <f aca="false">IF($H16="","",INDEX('Investment Log'!$B:$B,$H16))</f>
        <v/>
      </c>
      <c r="B16" s="57" t="str">
        <f aca="false">IF($H16="","",T(INDEX('Investment Log'!$D:$D,$H16)))</f>
        <v/>
      </c>
      <c r="C16" s="58" t="str">
        <f aca="false">IF($H16="","",INDEX('Investment Log'!$E:$E,$H16))</f>
        <v/>
      </c>
      <c r="D16" s="10" t="str">
        <f aca="false">IF($H16="","",T(INDEX('Investment Log'!$G:$G,$H16)))</f>
        <v/>
      </c>
      <c r="E16" s="10" t="str">
        <f aca="false">IF($H16="","",T(INDEX('Investment Log'!$H:$H,$H16)))</f>
        <v/>
      </c>
      <c r="F16" s="15" t="str">
        <f aca="false">IF($H16="","",SUM($C$8:$C16))</f>
        <v/>
      </c>
      <c r="H16" s="0" t="str">
        <f aca="false">IFERROR(MATCH("Mutual Funds|"&amp;9,'Investment Log'!$M$8:$M$500,0)+7,"")</f>
        <v/>
      </c>
    </row>
    <row r="17" customFormat="false" ht="18" hidden="false" customHeight="true" outlineLevel="0" collapsed="false">
      <c r="A17" s="61" t="str">
        <f aca="false">IF($H17="","",INDEX('Investment Log'!$B:$B,$H17))</f>
        <v/>
      </c>
      <c r="B17" s="51" t="str">
        <f aca="false">IF($H17="","",T(INDEX('Investment Log'!$D:$D,$H17)))</f>
        <v/>
      </c>
      <c r="C17" s="62" t="str">
        <f aca="false">IF($H17="","",INDEX('Investment Log'!$E:$E,$H17))</f>
        <v/>
      </c>
      <c r="D17" s="20" t="str">
        <f aca="false">IF($H17="","",T(INDEX('Investment Log'!$G:$G,$H17)))</f>
        <v/>
      </c>
      <c r="E17" s="20" t="str">
        <f aca="false">IF($H17="","",T(INDEX('Investment Log'!$H:$H,$H17)))</f>
        <v/>
      </c>
      <c r="F17" s="25" t="str">
        <f aca="false">IF($H17="","",SUM($C$8:$C17))</f>
        <v/>
      </c>
      <c r="H17" s="0" t="str">
        <f aca="false">IFERROR(MATCH("Mutual Funds|"&amp;10,'Investment Log'!$M$8:$M$500,0)+7,"")</f>
        <v/>
      </c>
    </row>
    <row r="18" customFormat="false" ht="18" hidden="false" customHeight="true" outlineLevel="0" collapsed="false">
      <c r="A18" s="56" t="str">
        <f aca="false">IF($H18="","",INDEX('Investment Log'!$B:$B,$H18))</f>
        <v/>
      </c>
      <c r="B18" s="57" t="str">
        <f aca="false">IF($H18="","",T(INDEX('Investment Log'!$D:$D,$H18)))</f>
        <v/>
      </c>
      <c r="C18" s="58" t="str">
        <f aca="false">IF($H18="","",INDEX('Investment Log'!$E:$E,$H18))</f>
        <v/>
      </c>
      <c r="D18" s="10" t="str">
        <f aca="false">IF($H18="","",T(INDEX('Investment Log'!$G:$G,$H18)))</f>
        <v/>
      </c>
      <c r="E18" s="10" t="str">
        <f aca="false">IF($H18="","",T(INDEX('Investment Log'!$H:$H,$H18)))</f>
        <v/>
      </c>
      <c r="F18" s="15" t="str">
        <f aca="false">IF($H18="","",SUM($C$8:$C18))</f>
        <v/>
      </c>
      <c r="H18" s="0" t="str">
        <f aca="false">IFERROR(MATCH("Mutual Funds|"&amp;11,'Investment Log'!$M$8:$M$500,0)+7,"")</f>
        <v/>
      </c>
    </row>
    <row r="19" customFormat="false" ht="18" hidden="false" customHeight="true" outlineLevel="0" collapsed="false">
      <c r="A19" s="61" t="str">
        <f aca="false">IF($H19="","",INDEX('Investment Log'!$B:$B,$H19))</f>
        <v/>
      </c>
      <c r="B19" s="51" t="str">
        <f aca="false">IF($H19="","",T(INDEX('Investment Log'!$D:$D,$H19)))</f>
        <v/>
      </c>
      <c r="C19" s="62" t="str">
        <f aca="false">IF($H19="","",INDEX('Investment Log'!$E:$E,$H19))</f>
        <v/>
      </c>
      <c r="D19" s="20" t="str">
        <f aca="false">IF($H19="","",T(INDEX('Investment Log'!$G:$G,$H19)))</f>
        <v/>
      </c>
      <c r="E19" s="20" t="str">
        <f aca="false">IF($H19="","",T(INDEX('Investment Log'!$H:$H,$H19)))</f>
        <v/>
      </c>
      <c r="F19" s="25" t="str">
        <f aca="false">IF($H19="","",SUM($C$8:$C19))</f>
        <v/>
      </c>
      <c r="H19" s="0" t="str">
        <f aca="false">IFERROR(MATCH("Mutual Funds|"&amp;12,'Investment Log'!$M$8:$M$500,0)+7,"")</f>
        <v/>
      </c>
    </row>
    <row r="20" customFormat="false" ht="18" hidden="false" customHeight="true" outlineLevel="0" collapsed="false">
      <c r="A20" s="56" t="str">
        <f aca="false">IF($H20="","",INDEX('Investment Log'!$B:$B,$H20))</f>
        <v/>
      </c>
      <c r="B20" s="57" t="str">
        <f aca="false">IF($H20="","",T(INDEX('Investment Log'!$D:$D,$H20)))</f>
        <v/>
      </c>
      <c r="C20" s="58" t="str">
        <f aca="false">IF($H20="","",INDEX('Investment Log'!$E:$E,$H20))</f>
        <v/>
      </c>
      <c r="D20" s="10" t="str">
        <f aca="false">IF($H20="","",T(INDEX('Investment Log'!$G:$G,$H20)))</f>
        <v/>
      </c>
      <c r="E20" s="10" t="str">
        <f aca="false">IF($H20="","",T(INDEX('Investment Log'!$H:$H,$H20)))</f>
        <v/>
      </c>
      <c r="F20" s="15" t="str">
        <f aca="false">IF($H20="","",SUM($C$8:$C20))</f>
        <v/>
      </c>
      <c r="H20" s="0" t="str">
        <f aca="false">IFERROR(MATCH("Mutual Funds|"&amp;13,'Investment Log'!$M$8:$M$500,0)+7,"")</f>
        <v/>
      </c>
    </row>
    <row r="21" customFormat="false" ht="18" hidden="false" customHeight="true" outlineLevel="0" collapsed="false">
      <c r="A21" s="61" t="str">
        <f aca="false">IF($H21="","",INDEX('Investment Log'!$B:$B,$H21))</f>
        <v/>
      </c>
      <c r="B21" s="51" t="str">
        <f aca="false">IF($H21="","",T(INDEX('Investment Log'!$D:$D,$H21)))</f>
        <v/>
      </c>
      <c r="C21" s="62" t="str">
        <f aca="false">IF($H21="","",INDEX('Investment Log'!$E:$E,$H21))</f>
        <v/>
      </c>
      <c r="D21" s="20" t="str">
        <f aca="false">IF($H21="","",T(INDEX('Investment Log'!$G:$G,$H21)))</f>
        <v/>
      </c>
      <c r="E21" s="20" t="str">
        <f aca="false">IF($H21="","",T(INDEX('Investment Log'!$H:$H,$H21)))</f>
        <v/>
      </c>
      <c r="F21" s="25" t="str">
        <f aca="false">IF($H21="","",SUM($C$8:$C21))</f>
        <v/>
      </c>
      <c r="H21" s="0" t="str">
        <f aca="false">IFERROR(MATCH("Mutual Funds|"&amp;14,'Investment Log'!$M$8:$M$500,0)+7,"")</f>
        <v/>
      </c>
    </row>
    <row r="22" customFormat="false" ht="18" hidden="false" customHeight="true" outlineLevel="0" collapsed="false">
      <c r="A22" s="56" t="str">
        <f aca="false">IF($H22="","",INDEX('Investment Log'!$B:$B,$H22))</f>
        <v/>
      </c>
      <c r="B22" s="57" t="str">
        <f aca="false">IF($H22="","",T(INDEX('Investment Log'!$D:$D,$H22)))</f>
        <v/>
      </c>
      <c r="C22" s="58" t="str">
        <f aca="false">IF($H22="","",INDEX('Investment Log'!$E:$E,$H22))</f>
        <v/>
      </c>
      <c r="D22" s="10" t="str">
        <f aca="false">IF($H22="","",T(INDEX('Investment Log'!$G:$G,$H22)))</f>
        <v/>
      </c>
      <c r="E22" s="10" t="str">
        <f aca="false">IF($H22="","",T(INDEX('Investment Log'!$H:$H,$H22)))</f>
        <v/>
      </c>
      <c r="F22" s="15" t="str">
        <f aca="false">IF($H22="","",SUM($C$8:$C22))</f>
        <v/>
      </c>
      <c r="H22" s="0" t="str">
        <f aca="false">IFERROR(MATCH("Mutual Funds|"&amp;15,'Investment Log'!$M$8:$M$500,0)+7,"")</f>
        <v/>
      </c>
    </row>
    <row r="23" customFormat="false" ht="18" hidden="false" customHeight="true" outlineLevel="0" collapsed="false">
      <c r="A23" s="61" t="str">
        <f aca="false">IF($H23="","",INDEX('Investment Log'!$B:$B,$H23))</f>
        <v/>
      </c>
      <c r="B23" s="51" t="str">
        <f aca="false">IF($H23="","",T(INDEX('Investment Log'!$D:$D,$H23)))</f>
        <v/>
      </c>
      <c r="C23" s="62" t="str">
        <f aca="false">IF($H23="","",INDEX('Investment Log'!$E:$E,$H23))</f>
        <v/>
      </c>
      <c r="D23" s="20" t="str">
        <f aca="false">IF($H23="","",T(INDEX('Investment Log'!$G:$G,$H23)))</f>
        <v/>
      </c>
      <c r="E23" s="20" t="str">
        <f aca="false">IF($H23="","",T(INDEX('Investment Log'!$H:$H,$H23)))</f>
        <v/>
      </c>
      <c r="F23" s="25" t="str">
        <f aca="false">IF($H23="","",SUM($C$8:$C23))</f>
        <v/>
      </c>
      <c r="H23" s="0" t="str">
        <f aca="false">IFERROR(MATCH("Mutual Funds|"&amp;16,'Investment Log'!$M$8:$M$500,0)+7,"")</f>
        <v/>
      </c>
    </row>
    <row r="24" customFormat="false" ht="18" hidden="false" customHeight="true" outlineLevel="0" collapsed="false">
      <c r="A24" s="56" t="str">
        <f aca="false">IF($H24="","",INDEX('Investment Log'!$B:$B,$H24))</f>
        <v/>
      </c>
      <c r="B24" s="57" t="str">
        <f aca="false">IF($H24="","",T(INDEX('Investment Log'!$D:$D,$H24)))</f>
        <v/>
      </c>
      <c r="C24" s="58" t="str">
        <f aca="false">IF($H24="","",INDEX('Investment Log'!$E:$E,$H24))</f>
        <v/>
      </c>
      <c r="D24" s="10" t="str">
        <f aca="false">IF($H24="","",T(INDEX('Investment Log'!$G:$G,$H24)))</f>
        <v/>
      </c>
      <c r="E24" s="10" t="str">
        <f aca="false">IF($H24="","",T(INDEX('Investment Log'!$H:$H,$H24)))</f>
        <v/>
      </c>
      <c r="F24" s="15" t="str">
        <f aca="false">IF($H24="","",SUM($C$8:$C24))</f>
        <v/>
      </c>
      <c r="H24" s="0" t="str">
        <f aca="false">IFERROR(MATCH("Mutual Funds|"&amp;17,'Investment Log'!$M$8:$M$500,0)+7,"")</f>
        <v/>
      </c>
    </row>
    <row r="25" customFormat="false" ht="18" hidden="false" customHeight="true" outlineLevel="0" collapsed="false">
      <c r="A25" s="61" t="str">
        <f aca="false">IF($H25="","",INDEX('Investment Log'!$B:$B,$H25))</f>
        <v/>
      </c>
      <c r="B25" s="51" t="str">
        <f aca="false">IF($H25="","",T(INDEX('Investment Log'!$D:$D,$H25)))</f>
        <v/>
      </c>
      <c r="C25" s="62" t="str">
        <f aca="false">IF($H25="","",INDEX('Investment Log'!$E:$E,$H25))</f>
        <v/>
      </c>
      <c r="D25" s="20" t="str">
        <f aca="false">IF($H25="","",T(INDEX('Investment Log'!$G:$G,$H25)))</f>
        <v/>
      </c>
      <c r="E25" s="20" t="str">
        <f aca="false">IF($H25="","",T(INDEX('Investment Log'!$H:$H,$H25)))</f>
        <v/>
      </c>
      <c r="F25" s="25" t="str">
        <f aca="false">IF($H25="","",SUM($C$8:$C25))</f>
        <v/>
      </c>
      <c r="H25" s="0" t="str">
        <f aca="false">IFERROR(MATCH("Mutual Funds|"&amp;18,'Investment Log'!$M$8:$M$500,0)+7,"")</f>
        <v/>
      </c>
    </row>
    <row r="26" customFormat="false" ht="18" hidden="false" customHeight="true" outlineLevel="0" collapsed="false">
      <c r="A26" s="56" t="str">
        <f aca="false">IF($H26="","",INDEX('Investment Log'!$B:$B,$H26))</f>
        <v/>
      </c>
      <c r="B26" s="57" t="str">
        <f aca="false">IF($H26="","",T(INDEX('Investment Log'!$D:$D,$H26)))</f>
        <v/>
      </c>
      <c r="C26" s="58" t="str">
        <f aca="false">IF($H26="","",INDEX('Investment Log'!$E:$E,$H26))</f>
        <v/>
      </c>
      <c r="D26" s="10" t="str">
        <f aca="false">IF($H26="","",T(INDEX('Investment Log'!$G:$G,$H26)))</f>
        <v/>
      </c>
      <c r="E26" s="10" t="str">
        <f aca="false">IF($H26="","",T(INDEX('Investment Log'!$H:$H,$H26)))</f>
        <v/>
      </c>
      <c r="F26" s="15" t="str">
        <f aca="false">IF($H26="","",SUM($C$8:$C26))</f>
        <v/>
      </c>
      <c r="H26" s="0" t="str">
        <f aca="false">IFERROR(MATCH("Mutual Funds|"&amp;19,'Investment Log'!$M$8:$M$500,0)+7,"")</f>
        <v/>
      </c>
    </row>
    <row r="27" customFormat="false" ht="18" hidden="false" customHeight="true" outlineLevel="0" collapsed="false">
      <c r="A27" s="61" t="str">
        <f aca="false">IF($H27="","",INDEX('Investment Log'!$B:$B,$H27))</f>
        <v/>
      </c>
      <c r="B27" s="51" t="str">
        <f aca="false">IF($H27="","",T(INDEX('Investment Log'!$D:$D,$H27)))</f>
        <v/>
      </c>
      <c r="C27" s="62" t="str">
        <f aca="false">IF($H27="","",INDEX('Investment Log'!$E:$E,$H27))</f>
        <v/>
      </c>
      <c r="D27" s="20" t="str">
        <f aca="false">IF($H27="","",T(INDEX('Investment Log'!$G:$G,$H27)))</f>
        <v/>
      </c>
      <c r="E27" s="20" t="str">
        <f aca="false">IF($H27="","",T(INDEX('Investment Log'!$H:$H,$H27)))</f>
        <v/>
      </c>
      <c r="F27" s="25" t="str">
        <f aca="false">IF($H27="","",SUM($C$8:$C27))</f>
        <v/>
      </c>
      <c r="H27" s="0" t="str">
        <f aca="false">IFERROR(MATCH("Mutual Funds|"&amp;20,'Investment Log'!$M$8:$M$500,0)+7,"")</f>
        <v/>
      </c>
    </row>
    <row r="28" customFormat="false" ht="18" hidden="false" customHeight="true" outlineLevel="0" collapsed="false">
      <c r="A28" s="56" t="str">
        <f aca="false">IF($H28="","",INDEX('Investment Log'!$B:$B,$H28))</f>
        <v/>
      </c>
      <c r="B28" s="57" t="str">
        <f aca="false">IF($H28="","",T(INDEX('Investment Log'!$D:$D,$H28)))</f>
        <v/>
      </c>
      <c r="C28" s="58" t="str">
        <f aca="false">IF($H28="","",INDEX('Investment Log'!$E:$E,$H28))</f>
        <v/>
      </c>
      <c r="D28" s="10" t="str">
        <f aca="false">IF($H28="","",T(INDEX('Investment Log'!$G:$G,$H28)))</f>
        <v/>
      </c>
      <c r="E28" s="10" t="str">
        <f aca="false">IF($H28="","",T(INDEX('Investment Log'!$H:$H,$H28)))</f>
        <v/>
      </c>
      <c r="F28" s="15" t="str">
        <f aca="false">IF($H28="","",SUM($C$8:$C28))</f>
        <v/>
      </c>
      <c r="H28" s="0" t="str">
        <f aca="false">IFERROR(MATCH("Mutual Funds|"&amp;21,'Investment Log'!$M$8:$M$500,0)+7,"")</f>
        <v/>
      </c>
    </row>
    <row r="29" customFormat="false" ht="18" hidden="false" customHeight="true" outlineLevel="0" collapsed="false">
      <c r="A29" s="61" t="str">
        <f aca="false">IF($H29="","",INDEX('Investment Log'!$B:$B,$H29))</f>
        <v/>
      </c>
      <c r="B29" s="51" t="str">
        <f aca="false">IF($H29="","",T(INDEX('Investment Log'!$D:$D,$H29)))</f>
        <v/>
      </c>
      <c r="C29" s="62" t="str">
        <f aca="false">IF($H29="","",INDEX('Investment Log'!$E:$E,$H29))</f>
        <v/>
      </c>
      <c r="D29" s="20" t="str">
        <f aca="false">IF($H29="","",T(INDEX('Investment Log'!$G:$G,$H29)))</f>
        <v/>
      </c>
      <c r="E29" s="20" t="str">
        <f aca="false">IF($H29="","",T(INDEX('Investment Log'!$H:$H,$H29)))</f>
        <v/>
      </c>
      <c r="F29" s="25" t="str">
        <f aca="false">IF($H29="","",SUM($C$8:$C29))</f>
        <v/>
      </c>
      <c r="H29" s="0" t="str">
        <f aca="false">IFERROR(MATCH("Mutual Funds|"&amp;22,'Investment Log'!$M$8:$M$500,0)+7,"")</f>
        <v/>
      </c>
    </row>
    <row r="30" customFormat="false" ht="18" hidden="false" customHeight="true" outlineLevel="0" collapsed="false">
      <c r="A30" s="56" t="str">
        <f aca="false">IF($H30="","",INDEX('Investment Log'!$B:$B,$H30))</f>
        <v/>
      </c>
      <c r="B30" s="57" t="str">
        <f aca="false">IF($H30="","",T(INDEX('Investment Log'!$D:$D,$H30)))</f>
        <v/>
      </c>
      <c r="C30" s="58" t="str">
        <f aca="false">IF($H30="","",INDEX('Investment Log'!$E:$E,$H30))</f>
        <v/>
      </c>
      <c r="D30" s="10" t="str">
        <f aca="false">IF($H30="","",T(INDEX('Investment Log'!$G:$G,$H30)))</f>
        <v/>
      </c>
      <c r="E30" s="10" t="str">
        <f aca="false">IF($H30="","",T(INDEX('Investment Log'!$H:$H,$H30)))</f>
        <v/>
      </c>
      <c r="F30" s="15" t="str">
        <f aca="false">IF($H30="","",SUM($C$8:$C30))</f>
        <v/>
      </c>
      <c r="H30" s="0" t="str">
        <f aca="false">IFERROR(MATCH("Mutual Funds|"&amp;23,'Investment Log'!$M$8:$M$500,0)+7,"")</f>
        <v/>
      </c>
    </row>
    <row r="31" customFormat="false" ht="18" hidden="false" customHeight="true" outlineLevel="0" collapsed="false">
      <c r="A31" s="61" t="str">
        <f aca="false">IF($H31="","",INDEX('Investment Log'!$B:$B,$H31))</f>
        <v/>
      </c>
      <c r="B31" s="51" t="str">
        <f aca="false">IF($H31="","",T(INDEX('Investment Log'!$D:$D,$H31)))</f>
        <v/>
      </c>
      <c r="C31" s="62" t="str">
        <f aca="false">IF($H31="","",INDEX('Investment Log'!$E:$E,$H31))</f>
        <v/>
      </c>
      <c r="D31" s="20" t="str">
        <f aca="false">IF($H31="","",T(INDEX('Investment Log'!$G:$G,$H31)))</f>
        <v/>
      </c>
      <c r="E31" s="20" t="str">
        <f aca="false">IF($H31="","",T(INDEX('Investment Log'!$H:$H,$H31)))</f>
        <v/>
      </c>
      <c r="F31" s="25" t="str">
        <f aca="false">IF($H31="","",SUM($C$8:$C31))</f>
        <v/>
      </c>
      <c r="H31" s="0" t="str">
        <f aca="false">IFERROR(MATCH("Mutual Funds|"&amp;24,'Investment Log'!$M$8:$M$500,0)+7,"")</f>
        <v/>
      </c>
    </row>
    <row r="32" customFormat="false" ht="18" hidden="false" customHeight="true" outlineLevel="0" collapsed="false">
      <c r="A32" s="56" t="str">
        <f aca="false">IF($H32="","",INDEX('Investment Log'!$B:$B,$H32))</f>
        <v/>
      </c>
      <c r="B32" s="57" t="str">
        <f aca="false">IF($H32="","",T(INDEX('Investment Log'!$D:$D,$H32)))</f>
        <v/>
      </c>
      <c r="C32" s="58" t="str">
        <f aca="false">IF($H32="","",INDEX('Investment Log'!$E:$E,$H32))</f>
        <v/>
      </c>
      <c r="D32" s="10" t="str">
        <f aca="false">IF($H32="","",T(INDEX('Investment Log'!$G:$G,$H32)))</f>
        <v/>
      </c>
      <c r="E32" s="10" t="str">
        <f aca="false">IF($H32="","",T(INDEX('Investment Log'!$H:$H,$H32)))</f>
        <v/>
      </c>
      <c r="F32" s="15" t="str">
        <f aca="false">IF($H32="","",SUM($C$8:$C32))</f>
        <v/>
      </c>
      <c r="H32" s="0" t="str">
        <f aca="false">IFERROR(MATCH("Mutual Funds|"&amp;25,'Investment Log'!$M$8:$M$500,0)+7,"")</f>
        <v/>
      </c>
    </row>
    <row r="33" customFormat="false" ht="18" hidden="false" customHeight="true" outlineLevel="0" collapsed="false">
      <c r="A33" s="61" t="str">
        <f aca="false">IF($H33="","",INDEX('Investment Log'!$B:$B,$H33))</f>
        <v/>
      </c>
      <c r="B33" s="51" t="str">
        <f aca="false">IF($H33="","",T(INDEX('Investment Log'!$D:$D,$H33)))</f>
        <v/>
      </c>
      <c r="C33" s="62" t="str">
        <f aca="false">IF($H33="","",INDEX('Investment Log'!$E:$E,$H33))</f>
        <v/>
      </c>
      <c r="D33" s="20" t="str">
        <f aca="false">IF($H33="","",T(INDEX('Investment Log'!$G:$G,$H33)))</f>
        <v/>
      </c>
      <c r="E33" s="20" t="str">
        <f aca="false">IF($H33="","",T(INDEX('Investment Log'!$H:$H,$H33)))</f>
        <v/>
      </c>
      <c r="F33" s="25" t="str">
        <f aca="false">IF($H33="","",SUM($C$8:$C33))</f>
        <v/>
      </c>
      <c r="H33" s="0" t="str">
        <f aca="false">IFERROR(MATCH("Mutual Funds|"&amp;26,'Investment Log'!$M$8:$M$500,0)+7,"")</f>
        <v/>
      </c>
    </row>
    <row r="34" customFormat="false" ht="18" hidden="false" customHeight="true" outlineLevel="0" collapsed="false">
      <c r="A34" s="56" t="str">
        <f aca="false">IF($H34="","",INDEX('Investment Log'!$B:$B,$H34))</f>
        <v/>
      </c>
      <c r="B34" s="57" t="str">
        <f aca="false">IF($H34="","",T(INDEX('Investment Log'!$D:$D,$H34)))</f>
        <v/>
      </c>
      <c r="C34" s="58" t="str">
        <f aca="false">IF($H34="","",INDEX('Investment Log'!$E:$E,$H34))</f>
        <v/>
      </c>
      <c r="D34" s="10" t="str">
        <f aca="false">IF($H34="","",T(INDEX('Investment Log'!$G:$G,$H34)))</f>
        <v/>
      </c>
      <c r="E34" s="10" t="str">
        <f aca="false">IF($H34="","",T(INDEX('Investment Log'!$H:$H,$H34)))</f>
        <v/>
      </c>
      <c r="F34" s="15" t="str">
        <f aca="false">IF($H34="","",SUM($C$8:$C34))</f>
        <v/>
      </c>
      <c r="H34" s="0" t="str">
        <f aca="false">IFERROR(MATCH("Mutual Funds|"&amp;27,'Investment Log'!$M$8:$M$500,0)+7,"")</f>
        <v/>
      </c>
    </row>
    <row r="35" customFormat="false" ht="18" hidden="false" customHeight="true" outlineLevel="0" collapsed="false">
      <c r="A35" s="61" t="str">
        <f aca="false">IF($H35="","",INDEX('Investment Log'!$B:$B,$H35))</f>
        <v/>
      </c>
      <c r="B35" s="51" t="str">
        <f aca="false">IF($H35="","",T(INDEX('Investment Log'!$D:$D,$H35)))</f>
        <v/>
      </c>
      <c r="C35" s="62" t="str">
        <f aca="false">IF($H35="","",INDEX('Investment Log'!$E:$E,$H35))</f>
        <v/>
      </c>
      <c r="D35" s="20" t="str">
        <f aca="false">IF($H35="","",T(INDEX('Investment Log'!$G:$G,$H35)))</f>
        <v/>
      </c>
      <c r="E35" s="20" t="str">
        <f aca="false">IF($H35="","",T(INDEX('Investment Log'!$H:$H,$H35)))</f>
        <v/>
      </c>
      <c r="F35" s="25" t="str">
        <f aca="false">IF($H35="","",SUM($C$8:$C35))</f>
        <v/>
      </c>
      <c r="H35" s="0" t="str">
        <f aca="false">IFERROR(MATCH("Mutual Funds|"&amp;28,'Investment Log'!$M$8:$M$500,0)+7,"")</f>
        <v/>
      </c>
    </row>
    <row r="36" customFormat="false" ht="18" hidden="false" customHeight="true" outlineLevel="0" collapsed="false">
      <c r="A36" s="56" t="str">
        <f aca="false">IF($H36="","",INDEX('Investment Log'!$B:$B,$H36))</f>
        <v/>
      </c>
      <c r="B36" s="57" t="str">
        <f aca="false">IF($H36="","",T(INDEX('Investment Log'!$D:$D,$H36)))</f>
        <v/>
      </c>
      <c r="C36" s="58" t="str">
        <f aca="false">IF($H36="","",INDEX('Investment Log'!$E:$E,$H36))</f>
        <v/>
      </c>
      <c r="D36" s="10" t="str">
        <f aca="false">IF($H36="","",T(INDEX('Investment Log'!$G:$G,$H36)))</f>
        <v/>
      </c>
      <c r="E36" s="10" t="str">
        <f aca="false">IF($H36="","",T(INDEX('Investment Log'!$H:$H,$H36)))</f>
        <v/>
      </c>
      <c r="F36" s="15" t="str">
        <f aca="false">IF($H36="","",SUM($C$8:$C36))</f>
        <v/>
      </c>
      <c r="H36" s="0" t="str">
        <f aca="false">IFERROR(MATCH("Mutual Funds|"&amp;29,'Investment Log'!$M$8:$M$500,0)+7,"")</f>
        <v/>
      </c>
    </row>
    <row r="37" customFormat="false" ht="18" hidden="false" customHeight="true" outlineLevel="0" collapsed="false">
      <c r="A37" s="61" t="str">
        <f aca="false">IF($H37="","",INDEX('Investment Log'!$B:$B,$H37))</f>
        <v/>
      </c>
      <c r="B37" s="51" t="str">
        <f aca="false">IF($H37="","",T(INDEX('Investment Log'!$D:$D,$H37)))</f>
        <v/>
      </c>
      <c r="C37" s="62" t="str">
        <f aca="false">IF($H37="","",INDEX('Investment Log'!$E:$E,$H37))</f>
        <v/>
      </c>
      <c r="D37" s="20" t="str">
        <f aca="false">IF($H37="","",T(INDEX('Investment Log'!$G:$G,$H37)))</f>
        <v/>
      </c>
      <c r="E37" s="20" t="str">
        <f aca="false">IF($H37="","",T(INDEX('Investment Log'!$H:$H,$H37)))</f>
        <v/>
      </c>
      <c r="F37" s="25" t="str">
        <f aca="false">IF($H37="","",SUM($C$8:$C37))</f>
        <v/>
      </c>
      <c r="H37" s="0" t="str">
        <f aca="false">IFERROR(MATCH("Mutual Funds|"&amp;30,'Investment Log'!$M$8:$M$500,0)+7,"")</f>
        <v/>
      </c>
    </row>
    <row r="38" customFormat="false" ht="18" hidden="false" customHeight="true" outlineLevel="0" collapsed="false">
      <c r="A38" s="56" t="str">
        <f aca="false">IF($H38="","",INDEX('Investment Log'!$B:$B,$H38))</f>
        <v/>
      </c>
      <c r="B38" s="57" t="str">
        <f aca="false">IF($H38="","",T(INDEX('Investment Log'!$D:$D,$H38)))</f>
        <v/>
      </c>
      <c r="C38" s="58" t="str">
        <f aca="false">IF($H38="","",INDEX('Investment Log'!$E:$E,$H38))</f>
        <v/>
      </c>
      <c r="D38" s="10" t="str">
        <f aca="false">IF($H38="","",T(INDEX('Investment Log'!$G:$G,$H38)))</f>
        <v/>
      </c>
      <c r="E38" s="10" t="str">
        <f aca="false">IF($H38="","",T(INDEX('Investment Log'!$H:$H,$H38)))</f>
        <v/>
      </c>
      <c r="F38" s="15" t="str">
        <f aca="false">IF($H38="","",SUM($C$8:$C38))</f>
        <v/>
      </c>
      <c r="H38" s="0" t="str">
        <f aca="false">IFERROR(MATCH("Mutual Funds|"&amp;31,'Investment Log'!$M$8:$M$500,0)+7,"")</f>
        <v/>
      </c>
    </row>
    <row r="39" customFormat="false" ht="18" hidden="false" customHeight="true" outlineLevel="0" collapsed="false">
      <c r="A39" s="61" t="str">
        <f aca="false">IF($H39="","",INDEX('Investment Log'!$B:$B,$H39))</f>
        <v/>
      </c>
      <c r="B39" s="51" t="str">
        <f aca="false">IF($H39="","",T(INDEX('Investment Log'!$D:$D,$H39)))</f>
        <v/>
      </c>
      <c r="C39" s="62" t="str">
        <f aca="false">IF($H39="","",INDEX('Investment Log'!$E:$E,$H39))</f>
        <v/>
      </c>
      <c r="D39" s="20" t="str">
        <f aca="false">IF($H39="","",T(INDEX('Investment Log'!$G:$G,$H39)))</f>
        <v/>
      </c>
      <c r="E39" s="20" t="str">
        <f aca="false">IF($H39="","",T(INDEX('Investment Log'!$H:$H,$H39)))</f>
        <v/>
      </c>
      <c r="F39" s="25" t="str">
        <f aca="false">IF($H39="","",SUM($C$8:$C39))</f>
        <v/>
      </c>
      <c r="H39" s="0" t="str">
        <f aca="false">IFERROR(MATCH("Mutual Funds|"&amp;32,'Investment Log'!$M$8:$M$500,0)+7,"")</f>
        <v/>
      </c>
    </row>
    <row r="40" customFormat="false" ht="18" hidden="false" customHeight="true" outlineLevel="0" collapsed="false">
      <c r="A40" s="56" t="str">
        <f aca="false">IF($H40="","",INDEX('Investment Log'!$B:$B,$H40))</f>
        <v/>
      </c>
      <c r="B40" s="57" t="str">
        <f aca="false">IF($H40="","",T(INDEX('Investment Log'!$D:$D,$H40)))</f>
        <v/>
      </c>
      <c r="C40" s="58" t="str">
        <f aca="false">IF($H40="","",INDEX('Investment Log'!$E:$E,$H40))</f>
        <v/>
      </c>
      <c r="D40" s="10" t="str">
        <f aca="false">IF($H40="","",T(INDEX('Investment Log'!$G:$G,$H40)))</f>
        <v/>
      </c>
      <c r="E40" s="10" t="str">
        <f aca="false">IF($H40="","",T(INDEX('Investment Log'!$H:$H,$H40)))</f>
        <v/>
      </c>
      <c r="F40" s="15" t="str">
        <f aca="false">IF($H40="","",SUM($C$8:$C40))</f>
        <v/>
      </c>
      <c r="H40" s="0" t="str">
        <f aca="false">IFERROR(MATCH("Mutual Funds|"&amp;33,'Investment Log'!$M$8:$M$500,0)+7,"")</f>
        <v/>
      </c>
    </row>
    <row r="41" customFormat="false" ht="18" hidden="false" customHeight="true" outlineLevel="0" collapsed="false">
      <c r="A41" s="61" t="str">
        <f aca="false">IF($H41="","",INDEX('Investment Log'!$B:$B,$H41))</f>
        <v/>
      </c>
      <c r="B41" s="51" t="str">
        <f aca="false">IF($H41="","",T(INDEX('Investment Log'!$D:$D,$H41)))</f>
        <v/>
      </c>
      <c r="C41" s="62" t="str">
        <f aca="false">IF($H41="","",INDEX('Investment Log'!$E:$E,$H41))</f>
        <v/>
      </c>
      <c r="D41" s="20" t="str">
        <f aca="false">IF($H41="","",T(INDEX('Investment Log'!$G:$G,$H41)))</f>
        <v/>
      </c>
      <c r="E41" s="20" t="str">
        <f aca="false">IF($H41="","",T(INDEX('Investment Log'!$H:$H,$H41)))</f>
        <v/>
      </c>
      <c r="F41" s="25" t="str">
        <f aca="false">IF($H41="","",SUM($C$8:$C41))</f>
        <v/>
      </c>
      <c r="H41" s="0" t="str">
        <f aca="false">IFERROR(MATCH("Mutual Funds|"&amp;34,'Investment Log'!$M$8:$M$500,0)+7,"")</f>
        <v/>
      </c>
    </row>
    <row r="42" customFormat="false" ht="18" hidden="false" customHeight="true" outlineLevel="0" collapsed="false">
      <c r="A42" s="56" t="str">
        <f aca="false">IF($H42="","",INDEX('Investment Log'!$B:$B,$H42))</f>
        <v/>
      </c>
      <c r="B42" s="57" t="str">
        <f aca="false">IF($H42="","",T(INDEX('Investment Log'!$D:$D,$H42)))</f>
        <v/>
      </c>
      <c r="C42" s="58" t="str">
        <f aca="false">IF($H42="","",INDEX('Investment Log'!$E:$E,$H42))</f>
        <v/>
      </c>
      <c r="D42" s="10" t="str">
        <f aca="false">IF($H42="","",T(INDEX('Investment Log'!$G:$G,$H42)))</f>
        <v/>
      </c>
      <c r="E42" s="10" t="str">
        <f aca="false">IF($H42="","",T(INDEX('Investment Log'!$H:$H,$H42)))</f>
        <v/>
      </c>
      <c r="F42" s="15" t="str">
        <f aca="false">IF($H42="","",SUM($C$8:$C42))</f>
        <v/>
      </c>
      <c r="H42" s="0" t="str">
        <f aca="false">IFERROR(MATCH("Mutual Funds|"&amp;35,'Investment Log'!$M$8:$M$500,0)+7,"")</f>
        <v/>
      </c>
    </row>
    <row r="43" customFormat="false" ht="18" hidden="false" customHeight="true" outlineLevel="0" collapsed="false">
      <c r="A43" s="61" t="str">
        <f aca="false">IF($H43="","",INDEX('Investment Log'!$B:$B,$H43))</f>
        <v/>
      </c>
      <c r="B43" s="51" t="str">
        <f aca="false">IF($H43="","",T(INDEX('Investment Log'!$D:$D,$H43)))</f>
        <v/>
      </c>
      <c r="C43" s="62" t="str">
        <f aca="false">IF($H43="","",INDEX('Investment Log'!$E:$E,$H43))</f>
        <v/>
      </c>
      <c r="D43" s="20" t="str">
        <f aca="false">IF($H43="","",T(INDEX('Investment Log'!$G:$G,$H43)))</f>
        <v/>
      </c>
      <c r="E43" s="20" t="str">
        <f aca="false">IF($H43="","",T(INDEX('Investment Log'!$H:$H,$H43)))</f>
        <v/>
      </c>
      <c r="F43" s="25" t="str">
        <f aca="false">IF($H43="","",SUM($C$8:$C43))</f>
        <v/>
      </c>
      <c r="H43" s="0" t="str">
        <f aca="false">IFERROR(MATCH("Mutual Funds|"&amp;36,'Investment Log'!$M$8:$M$500,0)+7,"")</f>
        <v/>
      </c>
    </row>
    <row r="44" customFormat="false" ht="18" hidden="false" customHeight="true" outlineLevel="0" collapsed="false">
      <c r="A44" s="56" t="str">
        <f aca="false">IF($H44="","",INDEX('Investment Log'!$B:$B,$H44))</f>
        <v/>
      </c>
      <c r="B44" s="57" t="str">
        <f aca="false">IF($H44="","",T(INDEX('Investment Log'!$D:$D,$H44)))</f>
        <v/>
      </c>
      <c r="C44" s="58" t="str">
        <f aca="false">IF($H44="","",INDEX('Investment Log'!$E:$E,$H44))</f>
        <v/>
      </c>
      <c r="D44" s="10" t="str">
        <f aca="false">IF($H44="","",T(INDEX('Investment Log'!$G:$G,$H44)))</f>
        <v/>
      </c>
      <c r="E44" s="10" t="str">
        <f aca="false">IF($H44="","",T(INDEX('Investment Log'!$H:$H,$H44)))</f>
        <v/>
      </c>
      <c r="F44" s="15" t="str">
        <f aca="false">IF($H44="","",SUM($C$8:$C44))</f>
        <v/>
      </c>
      <c r="H44" s="0" t="str">
        <f aca="false">IFERROR(MATCH("Mutual Funds|"&amp;37,'Investment Log'!$M$8:$M$500,0)+7,"")</f>
        <v/>
      </c>
    </row>
    <row r="45" customFormat="false" ht="18" hidden="false" customHeight="true" outlineLevel="0" collapsed="false">
      <c r="A45" s="61" t="str">
        <f aca="false">IF($H45="","",INDEX('Investment Log'!$B:$B,$H45))</f>
        <v/>
      </c>
      <c r="B45" s="51" t="str">
        <f aca="false">IF($H45="","",T(INDEX('Investment Log'!$D:$D,$H45)))</f>
        <v/>
      </c>
      <c r="C45" s="62" t="str">
        <f aca="false">IF($H45="","",INDEX('Investment Log'!$E:$E,$H45))</f>
        <v/>
      </c>
      <c r="D45" s="20" t="str">
        <f aca="false">IF($H45="","",T(INDEX('Investment Log'!$G:$G,$H45)))</f>
        <v/>
      </c>
      <c r="E45" s="20" t="str">
        <f aca="false">IF($H45="","",T(INDEX('Investment Log'!$H:$H,$H45)))</f>
        <v/>
      </c>
      <c r="F45" s="25" t="str">
        <f aca="false">IF($H45="","",SUM($C$8:$C45))</f>
        <v/>
      </c>
      <c r="H45" s="0" t="str">
        <f aca="false">IFERROR(MATCH("Mutual Funds|"&amp;38,'Investment Log'!$M$8:$M$500,0)+7,"")</f>
        <v/>
      </c>
    </row>
    <row r="46" customFormat="false" ht="18" hidden="false" customHeight="true" outlineLevel="0" collapsed="false">
      <c r="A46" s="56" t="str">
        <f aca="false">IF($H46="","",INDEX('Investment Log'!$B:$B,$H46))</f>
        <v/>
      </c>
      <c r="B46" s="57" t="str">
        <f aca="false">IF($H46="","",T(INDEX('Investment Log'!$D:$D,$H46)))</f>
        <v/>
      </c>
      <c r="C46" s="58" t="str">
        <f aca="false">IF($H46="","",INDEX('Investment Log'!$E:$E,$H46))</f>
        <v/>
      </c>
      <c r="D46" s="10" t="str">
        <f aca="false">IF($H46="","",T(INDEX('Investment Log'!$G:$G,$H46)))</f>
        <v/>
      </c>
      <c r="E46" s="10" t="str">
        <f aca="false">IF($H46="","",T(INDEX('Investment Log'!$H:$H,$H46)))</f>
        <v/>
      </c>
      <c r="F46" s="15" t="str">
        <f aca="false">IF($H46="","",SUM($C$8:$C46))</f>
        <v/>
      </c>
      <c r="H46" s="0" t="str">
        <f aca="false">IFERROR(MATCH("Mutual Funds|"&amp;39,'Investment Log'!$M$8:$M$500,0)+7,"")</f>
        <v/>
      </c>
    </row>
    <row r="47" customFormat="false" ht="18" hidden="false" customHeight="true" outlineLevel="0" collapsed="false">
      <c r="A47" s="61" t="str">
        <f aca="false">IF($H47="","",INDEX('Investment Log'!$B:$B,$H47))</f>
        <v/>
      </c>
      <c r="B47" s="51" t="str">
        <f aca="false">IF($H47="","",T(INDEX('Investment Log'!$D:$D,$H47)))</f>
        <v/>
      </c>
      <c r="C47" s="62" t="str">
        <f aca="false">IF($H47="","",INDEX('Investment Log'!$E:$E,$H47))</f>
        <v/>
      </c>
      <c r="D47" s="20" t="str">
        <f aca="false">IF($H47="","",T(INDEX('Investment Log'!$G:$G,$H47)))</f>
        <v/>
      </c>
      <c r="E47" s="20" t="str">
        <f aca="false">IF($H47="","",T(INDEX('Investment Log'!$H:$H,$H47)))</f>
        <v/>
      </c>
      <c r="F47" s="25" t="str">
        <f aca="false">IF($H47="","",SUM($C$8:$C47))</f>
        <v/>
      </c>
      <c r="H47" s="0" t="str">
        <f aca="false">IFERROR(MATCH("Mutual Funds|"&amp;40,'Investment Log'!$M$8:$M$500,0)+7,"")</f>
        <v/>
      </c>
    </row>
    <row r="48" customFormat="false" ht="18" hidden="false" customHeight="true" outlineLevel="0" collapsed="false">
      <c r="A48" s="56" t="str">
        <f aca="false">IF($H48="","",INDEX('Investment Log'!$B:$B,$H48))</f>
        <v/>
      </c>
      <c r="B48" s="57" t="str">
        <f aca="false">IF($H48="","",T(INDEX('Investment Log'!$D:$D,$H48)))</f>
        <v/>
      </c>
      <c r="C48" s="58" t="str">
        <f aca="false">IF($H48="","",INDEX('Investment Log'!$E:$E,$H48))</f>
        <v/>
      </c>
      <c r="D48" s="10" t="str">
        <f aca="false">IF($H48="","",T(INDEX('Investment Log'!$G:$G,$H48)))</f>
        <v/>
      </c>
      <c r="E48" s="10" t="str">
        <f aca="false">IF($H48="","",T(INDEX('Investment Log'!$H:$H,$H48)))</f>
        <v/>
      </c>
      <c r="F48" s="15" t="str">
        <f aca="false">IF($H48="","",SUM($C$8:$C48))</f>
        <v/>
      </c>
      <c r="H48" s="0" t="str">
        <f aca="false">IFERROR(MATCH("Mutual Funds|"&amp;41,'Investment Log'!$M$8:$M$500,0)+7,"")</f>
        <v/>
      </c>
    </row>
    <row r="49" customFormat="false" ht="18" hidden="false" customHeight="true" outlineLevel="0" collapsed="false">
      <c r="A49" s="61" t="str">
        <f aca="false">IF($H49="","",INDEX('Investment Log'!$B:$B,$H49))</f>
        <v/>
      </c>
      <c r="B49" s="51" t="str">
        <f aca="false">IF($H49="","",T(INDEX('Investment Log'!$D:$D,$H49)))</f>
        <v/>
      </c>
      <c r="C49" s="62" t="str">
        <f aca="false">IF($H49="","",INDEX('Investment Log'!$E:$E,$H49))</f>
        <v/>
      </c>
      <c r="D49" s="20" t="str">
        <f aca="false">IF($H49="","",T(INDEX('Investment Log'!$G:$G,$H49)))</f>
        <v/>
      </c>
      <c r="E49" s="20" t="str">
        <f aca="false">IF($H49="","",T(INDEX('Investment Log'!$H:$H,$H49)))</f>
        <v/>
      </c>
      <c r="F49" s="25" t="str">
        <f aca="false">IF($H49="","",SUM($C$8:$C49))</f>
        <v/>
      </c>
      <c r="H49" s="0" t="str">
        <f aca="false">IFERROR(MATCH("Mutual Funds|"&amp;42,'Investment Log'!$M$8:$M$500,0)+7,"")</f>
        <v/>
      </c>
    </row>
    <row r="50" customFormat="false" ht="18" hidden="false" customHeight="true" outlineLevel="0" collapsed="false">
      <c r="A50" s="56" t="str">
        <f aca="false">IF($H50="","",INDEX('Investment Log'!$B:$B,$H50))</f>
        <v/>
      </c>
      <c r="B50" s="57" t="str">
        <f aca="false">IF($H50="","",T(INDEX('Investment Log'!$D:$D,$H50)))</f>
        <v/>
      </c>
      <c r="C50" s="58" t="str">
        <f aca="false">IF($H50="","",INDEX('Investment Log'!$E:$E,$H50))</f>
        <v/>
      </c>
      <c r="D50" s="10" t="str">
        <f aca="false">IF($H50="","",T(INDEX('Investment Log'!$G:$G,$H50)))</f>
        <v/>
      </c>
      <c r="E50" s="10" t="str">
        <f aca="false">IF($H50="","",T(INDEX('Investment Log'!$H:$H,$H50)))</f>
        <v/>
      </c>
      <c r="F50" s="15" t="str">
        <f aca="false">IF($H50="","",SUM($C$8:$C50))</f>
        <v/>
      </c>
      <c r="H50" s="0" t="str">
        <f aca="false">IFERROR(MATCH("Mutual Funds|"&amp;43,'Investment Log'!$M$8:$M$500,0)+7,"")</f>
        <v/>
      </c>
    </row>
    <row r="51" customFormat="false" ht="18" hidden="false" customHeight="true" outlineLevel="0" collapsed="false">
      <c r="A51" s="61" t="str">
        <f aca="false">IF($H51="","",INDEX('Investment Log'!$B:$B,$H51))</f>
        <v/>
      </c>
      <c r="B51" s="51" t="str">
        <f aca="false">IF($H51="","",T(INDEX('Investment Log'!$D:$D,$H51)))</f>
        <v/>
      </c>
      <c r="C51" s="62" t="str">
        <f aca="false">IF($H51="","",INDEX('Investment Log'!$E:$E,$H51))</f>
        <v/>
      </c>
      <c r="D51" s="20" t="str">
        <f aca="false">IF($H51="","",T(INDEX('Investment Log'!$G:$G,$H51)))</f>
        <v/>
      </c>
      <c r="E51" s="20" t="str">
        <f aca="false">IF($H51="","",T(INDEX('Investment Log'!$H:$H,$H51)))</f>
        <v/>
      </c>
      <c r="F51" s="25" t="str">
        <f aca="false">IF($H51="","",SUM($C$8:$C51))</f>
        <v/>
      </c>
      <c r="H51" s="0" t="str">
        <f aca="false">IFERROR(MATCH("Mutual Funds|"&amp;44,'Investment Log'!$M$8:$M$500,0)+7,"")</f>
        <v/>
      </c>
    </row>
    <row r="52" customFormat="false" ht="18" hidden="false" customHeight="true" outlineLevel="0" collapsed="false">
      <c r="A52" s="56" t="str">
        <f aca="false">IF($H52="","",INDEX('Investment Log'!$B:$B,$H52))</f>
        <v/>
      </c>
      <c r="B52" s="57" t="str">
        <f aca="false">IF($H52="","",T(INDEX('Investment Log'!$D:$D,$H52)))</f>
        <v/>
      </c>
      <c r="C52" s="58" t="str">
        <f aca="false">IF($H52="","",INDEX('Investment Log'!$E:$E,$H52))</f>
        <v/>
      </c>
      <c r="D52" s="10" t="str">
        <f aca="false">IF($H52="","",T(INDEX('Investment Log'!$G:$G,$H52)))</f>
        <v/>
      </c>
      <c r="E52" s="10" t="str">
        <f aca="false">IF($H52="","",T(INDEX('Investment Log'!$H:$H,$H52)))</f>
        <v/>
      </c>
      <c r="F52" s="15" t="str">
        <f aca="false">IF($H52="","",SUM($C$8:$C52))</f>
        <v/>
      </c>
      <c r="H52" s="0" t="str">
        <f aca="false">IFERROR(MATCH("Mutual Funds|"&amp;45,'Investment Log'!$M$8:$M$500,0)+7,"")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true" outlineLevel="0" max="8" min="8" style="0" width="13"/>
  </cols>
  <sheetData>
    <row r="1" customFormat="false" ht="27.75" hidden="false" customHeight="true" outlineLevel="0" collapsed="false">
      <c r="A1" s="69" t="s">
        <v>175</v>
      </c>
      <c r="B1" s="69"/>
      <c r="C1" s="69"/>
      <c r="D1" s="69"/>
      <c r="E1" s="69"/>
      <c r="F1" s="69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</row>
    <row r="4" customFormat="false" ht="15.75" hidden="false" customHeight="true" outlineLevel="0" collapsed="false">
      <c r="A4" s="3" t="s">
        <v>2</v>
      </c>
      <c r="B4" s="3" t="s">
        <v>4</v>
      </c>
    </row>
    <row r="5" customFormat="false" ht="24" hidden="false" customHeight="true" outlineLevel="0" collapsed="false">
      <c r="A5" s="70" t="n">
        <f aca="false">SUMIF('Investment Log'!$C$8:$C$500,"Stocks",'Investment Log'!$E$8:$E$500)</f>
        <v>118750</v>
      </c>
      <c r="B5" s="55" t="n">
        <f aca="false">COUNTIF('Investment Log'!$C$8:$C$500,"Stocks")</f>
        <v>2</v>
      </c>
    </row>
    <row r="7" customFormat="false" ht="27.75" hidden="false" customHeight="true" outlineLevel="0" collapsed="false">
      <c r="A7" s="7" t="s">
        <v>6</v>
      </c>
      <c r="B7" s="7" t="s">
        <v>8</v>
      </c>
      <c r="C7" s="7" t="s">
        <v>9</v>
      </c>
      <c r="D7" s="7" t="s">
        <v>11</v>
      </c>
      <c r="E7" s="7" t="s">
        <v>12</v>
      </c>
      <c r="F7" s="7" t="s">
        <v>172</v>
      </c>
    </row>
    <row r="8" customFormat="false" ht="18" hidden="false" customHeight="true" outlineLevel="0" collapsed="false">
      <c r="A8" s="56" t="n">
        <f aca="false">IF($H8="","",INDEX('Investment Log'!$B:$B,$H8))</f>
        <v>46204</v>
      </c>
      <c r="B8" s="57" t="str">
        <f aca="false">IF($H8="","",T(INDEX('Investment Log'!$D:$D,$H8)))</f>
        <v>Sanskrut Shares</v>
      </c>
      <c r="C8" s="58" t="n">
        <f aca="false">IF($H8="","",INDEX('Investment Log'!$E:$E,$H8))</f>
        <v>20000</v>
      </c>
      <c r="D8" s="10" t="str">
        <f aca="false">IF($H8="","",T(INDEX('Investment Log'!$G:$G,$H8)))</f>
        <v>—</v>
      </c>
      <c r="E8" s="10" t="str">
        <f aca="false">IF($H8="","",T(INDEX('Investment Log'!$H:$H,$H8)))</f>
        <v>Day not specified. (Unlisted / private shares?)</v>
      </c>
      <c r="F8" s="15" t="n">
        <f aca="false">IF($H8="","",SUM($C$8:$C8))</f>
        <v>20000</v>
      </c>
      <c r="H8" s="16" t="n">
        <f aca="false">IFERROR(MATCH("Stocks|"&amp;1,'Investment Log'!$M$8:$M$500,0)+7,"")</f>
        <v>18</v>
      </c>
    </row>
    <row r="9" customFormat="false" ht="18" hidden="false" customHeight="true" outlineLevel="0" collapsed="false">
      <c r="A9" s="61" t="n">
        <f aca="false">IF($H9="","",INDEX('Investment Log'!$B:$B,$H9))</f>
        <v>46237</v>
      </c>
      <c r="B9" s="51" t="str">
        <f aca="false">IF($H9="","",T(INDEX('Investment Log'!$D:$D,$H9)))</f>
        <v>NSE Stocks</v>
      </c>
      <c r="C9" s="62" t="n">
        <f aca="false">IF($H9="","",INDEX('Investment Log'!$E:$E,$H9))</f>
        <v>98750</v>
      </c>
      <c r="D9" s="20" t="str">
        <f aca="false">IF($H9="","",T(INDEX('Investment Log'!$G:$G,$H9)))</f>
        <v>—</v>
      </c>
      <c r="E9" s="20" t="str">
        <f aca="false">IF($H9="","",T(INDEX('Investment Log'!$H:$H,$H9)))</f>
        <v/>
      </c>
      <c r="F9" s="25" t="n">
        <f aca="false">IF($H9="","",SUM($C$8:$C9))</f>
        <v>118750</v>
      </c>
      <c r="H9" s="16" t="n">
        <f aca="false">IFERROR(MATCH("Stocks|"&amp;2,'Investment Log'!$M$8:$M$500,0)+7,"")</f>
        <v>19</v>
      </c>
    </row>
    <row r="10" customFormat="false" ht="18" hidden="false" customHeight="true" outlineLevel="0" collapsed="false">
      <c r="A10" s="56" t="str">
        <f aca="false">IF($H10="","",INDEX('Investment Log'!$B:$B,$H10))</f>
        <v/>
      </c>
      <c r="B10" s="57" t="str">
        <f aca="false">IF($H10="","",T(INDEX('Investment Log'!$D:$D,$H10)))</f>
        <v/>
      </c>
      <c r="C10" s="58" t="str">
        <f aca="false">IF($H10="","",INDEX('Investment Log'!$E:$E,$H10))</f>
        <v/>
      </c>
      <c r="D10" s="10" t="str">
        <f aca="false">IF($H10="","",T(INDEX('Investment Log'!$G:$G,$H10)))</f>
        <v/>
      </c>
      <c r="E10" s="10" t="str">
        <f aca="false">IF($H10="","",T(INDEX('Investment Log'!$H:$H,$H10)))</f>
        <v/>
      </c>
      <c r="F10" s="15" t="str">
        <f aca="false">IF($H10="","",SUM($C$8:$C10))</f>
        <v/>
      </c>
      <c r="H10" s="0" t="str">
        <f aca="false">IFERROR(MATCH("Stocks|"&amp;3,'Investment Log'!$M$8:$M$500,0)+7,"")</f>
        <v/>
      </c>
    </row>
    <row r="11" customFormat="false" ht="18" hidden="false" customHeight="true" outlineLevel="0" collapsed="false">
      <c r="A11" s="61" t="str">
        <f aca="false">IF($H11="","",INDEX('Investment Log'!$B:$B,$H11))</f>
        <v/>
      </c>
      <c r="B11" s="51" t="str">
        <f aca="false">IF($H11="","",T(INDEX('Investment Log'!$D:$D,$H11)))</f>
        <v/>
      </c>
      <c r="C11" s="62" t="str">
        <f aca="false">IF($H11="","",INDEX('Investment Log'!$E:$E,$H11))</f>
        <v/>
      </c>
      <c r="D11" s="20" t="str">
        <f aca="false">IF($H11="","",T(INDEX('Investment Log'!$G:$G,$H11)))</f>
        <v/>
      </c>
      <c r="E11" s="20" t="str">
        <f aca="false">IF($H11="","",T(INDEX('Investment Log'!$H:$H,$H11)))</f>
        <v/>
      </c>
      <c r="F11" s="25" t="str">
        <f aca="false">IF($H11="","",SUM($C$8:$C11))</f>
        <v/>
      </c>
      <c r="H11" s="0" t="str">
        <f aca="false">IFERROR(MATCH("Stocks|"&amp;4,'Investment Log'!$M$8:$M$500,0)+7,"")</f>
        <v/>
      </c>
    </row>
    <row r="12" customFormat="false" ht="18" hidden="false" customHeight="true" outlineLevel="0" collapsed="false">
      <c r="A12" s="56" t="str">
        <f aca="false">IF($H12="","",INDEX('Investment Log'!$B:$B,$H12))</f>
        <v/>
      </c>
      <c r="B12" s="57" t="str">
        <f aca="false">IF($H12="","",T(INDEX('Investment Log'!$D:$D,$H12)))</f>
        <v/>
      </c>
      <c r="C12" s="58" t="str">
        <f aca="false">IF($H12="","",INDEX('Investment Log'!$E:$E,$H12))</f>
        <v/>
      </c>
      <c r="D12" s="10" t="str">
        <f aca="false">IF($H12="","",T(INDEX('Investment Log'!$G:$G,$H12)))</f>
        <v/>
      </c>
      <c r="E12" s="10" t="str">
        <f aca="false">IF($H12="","",T(INDEX('Investment Log'!$H:$H,$H12)))</f>
        <v/>
      </c>
      <c r="F12" s="15" t="str">
        <f aca="false">IF($H12="","",SUM($C$8:$C12))</f>
        <v/>
      </c>
      <c r="H12" s="0" t="str">
        <f aca="false">IFERROR(MATCH("Stocks|"&amp;5,'Investment Log'!$M$8:$M$500,0)+7,"")</f>
        <v/>
      </c>
    </row>
    <row r="13" customFormat="false" ht="18" hidden="false" customHeight="true" outlineLevel="0" collapsed="false">
      <c r="A13" s="61" t="str">
        <f aca="false">IF($H13="","",INDEX('Investment Log'!$B:$B,$H13))</f>
        <v/>
      </c>
      <c r="B13" s="51" t="str">
        <f aca="false">IF($H13="","",T(INDEX('Investment Log'!$D:$D,$H13)))</f>
        <v/>
      </c>
      <c r="C13" s="62" t="str">
        <f aca="false">IF($H13="","",INDEX('Investment Log'!$E:$E,$H13))</f>
        <v/>
      </c>
      <c r="D13" s="20" t="str">
        <f aca="false">IF($H13="","",T(INDEX('Investment Log'!$G:$G,$H13)))</f>
        <v/>
      </c>
      <c r="E13" s="20" t="str">
        <f aca="false">IF($H13="","",T(INDEX('Investment Log'!$H:$H,$H13)))</f>
        <v/>
      </c>
      <c r="F13" s="25" t="str">
        <f aca="false">IF($H13="","",SUM($C$8:$C13))</f>
        <v/>
      </c>
      <c r="H13" s="0" t="str">
        <f aca="false">IFERROR(MATCH("Stocks|"&amp;6,'Investment Log'!$M$8:$M$500,0)+7,"")</f>
        <v/>
      </c>
    </row>
    <row r="14" customFormat="false" ht="18" hidden="false" customHeight="true" outlineLevel="0" collapsed="false">
      <c r="A14" s="56" t="str">
        <f aca="false">IF($H14="","",INDEX('Investment Log'!$B:$B,$H14))</f>
        <v/>
      </c>
      <c r="B14" s="57" t="str">
        <f aca="false">IF($H14="","",T(INDEX('Investment Log'!$D:$D,$H14)))</f>
        <v/>
      </c>
      <c r="C14" s="58" t="str">
        <f aca="false">IF($H14="","",INDEX('Investment Log'!$E:$E,$H14))</f>
        <v/>
      </c>
      <c r="D14" s="10" t="str">
        <f aca="false">IF($H14="","",T(INDEX('Investment Log'!$G:$G,$H14)))</f>
        <v/>
      </c>
      <c r="E14" s="10" t="str">
        <f aca="false">IF($H14="","",T(INDEX('Investment Log'!$H:$H,$H14)))</f>
        <v/>
      </c>
      <c r="F14" s="15" t="str">
        <f aca="false">IF($H14="","",SUM($C$8:$C14))</f>
        <v/>
      </c>
      <c r="H14" s="0" t="str">
        <f aca="false">IFERROR(MATCH("Stocks|"&amp;7,'Investment Log'!$M$8:$M$500,0)+7,"")</f>
        <v/>
      </c>
    </row>
    <row r="15" customFormat="false" ht="18" hidden="false" customHeight="true" outlineLevel="0" collapsed="false">
      <c r="A15" s="61" t="str">
        <f aca="false">IF($H15="","",INDEX('Investment Log'!$B:$B,$H15))</f>
        <v/>
      </c>
      <c r="B15" s="51" t="str">
        <f aca="false">IF($H15="","",T(INDEX('Investment Log'!$D:$D,$H15)))</f>
        <v/>
      </c>
      <c r="C15" s="62" t="str">
        <f aca="false">IF($H15="","",INDEX('Investment Log'!$E:$E,$H15))</f>
        <v/>
      </c>
      <c r="D15" s="20" t="str">
        <f aca="false">IF($H15="","",T(INDEX('Investment Log'!$G:$G,$H15)))</f>
        <v/>
      </c>
      <c r="E15" s="20" t="str">
        <f aca="false">IF($H15="","",T(INDEX('Investment Log'!$H:$H,$H15)))</f>
        <v/>
      </c>
      <c r="F15" s="25" t="str">
        <f aca="false">IF($H15="","",SUM($C$8:$C15))</f>
        <v/>
      </c>
      <c r="H15" s="0" t="str">
        <f aca="false">IFERROR(MATCH("Stocks|"&amp;8,'Investment Log'!$M$8:$M$500,0)+7,"")</f>
        <v/>
      </c>
    </row>
    <row r="16" customFormat="false" ht="18" hidden="false" customHeight="true" outlineLevel="0" collapsed="false">
      <c r="A16" s="56" t="str">
        <f aca="false">IF($H16="","",INDEX('Investment Log'!$B:$B,$H16))</f>
        <v/>
      </c>
      <c r="B16" s="57" t="str">
        <f aca="false">IF($H16="","",T(INDEX('Investment Log'!$D:$D,$H16)))</f>
        <v/>
      </c>
      <c r="C16" s="58" t="str">
        <f aca="false">IF($H16="","",INDEX('Investment Log'!$E:$E,$H16))</f>
        <v/>
      </c>
      <c r="D16" s="10" t="str">
        <f aca="false">IF($H16="","",T(INDEX('Investment Log'!$G:$G,$H16)))</f>
        <v/>
      </c>
      <c r="E16" s="10" t="str">
        <f aca="false">IF($H16="","",T(INDEX('Investment Log'!$H:$H,$H16)))</f>
        <v/>
      </c>
      <c r="F16" s="15" t="str">
        <f aca="false">IF($H16="","",SUM($C$8:$C16))</f>
        <v/>
      </c>
      <c r="H16" s="0" t="str">
        <f aca="false">IFERROR(MATCH("Stocks|"&amp;9,'Investment Log'!$M$8:$M$500,0)+7,"")</f>
        <v/>
      </c>
    </row>
    <row r="17" customFormat="false" ht="18" hidden="false" customHeight="true" outlineLevel="0" collapsed="false">
      <c r="A17" s="61" t="str">
        <f aca="false">IF($H17="","",INDEX('Investment Log'!$B:$B,$H17))</f>
        <v/>
      </c>
      <c r="B17" s="51" t="str">
        <f aca="false">IF($H17="","",T(INDEX('Investment Log'!$D:$D,$H17)))</f>
        <v/>
      </c>
      <c r="C17" s="62" t="str">
        <f aca="false">IF($H17="","",INDEX('Investment Log'!$E:$E,$H17))</f>
        <v/>
      </c>
      <c r="D17" s="20" t="str">
        <f aca="false">IF($H17="","",T(INDEX('Investment Log'!$G:$G,$H17)))</f>
        <v/>
      </c>
      <c r="E17" s="20" t="str">
        <f aca="false">IF($H17="","",T(INDEX('Investment Log'!$H:$H,$H17)))</f>
        <v/>
      </c>
      <c r="F17" s="25" t="str">
        <f aca="false">IF($H17="","",SUM($C$8:$C17))</f>
        <v/>
      </c>
      <c r="H17" s="0" t="str">
        <f aca="false">IFERROR(MATCH("Stocks|"&amp;10,'Investment Log'!$M$8:$M$500,0)+7,"")</f>
        <v/>
      </c>
    </row>
    <row r="18" customFormat="false" ht="18" hidden="false" customHeight="true" outlineLevel="0" collapsed="false">
      <c r="A18" s="56" t="str">
        <f aca="false">IF($H18="","",INDEX('Investment Log'!$B:$B,$H18))</f>
        <v/>
      </c>
      <c r="B18" s="57" t="str">
        <f aca="false">IF($H18="","",T(INDEX('Investment Log'!$D:$D,$H18)))</f>
        <v/>
      </c>
      <c r="C18" s="58" t="str">
        <f aca="false">IF($H18="","",INDEX('Investment Log'!$E:$E,$H18))</f>
        <v/>
      </c>
      <c r="D18" s="10" t="str">
        <f aca="false">IF($H18="","",T(INDEX('Investment Log'!$G:$G,$H18)))</f>
        <v/>
      </c>
      <c r="E18" s="10" t="str">
        <f aca="false">IF($H18="","",T(INDEX('Investment Log'!$H:$H,$H18)))</f>
        <v/>
      </c>
      <c r="F18" s="15" t="str">
        <f aca="false">IF($H18="","",SUM($C$8:$C18))</f>
        <v/>
      </c>
      <c r="H18" s="0" t="str">
        <f aca="false">IFERROR(MATCH("Stocks|"&amp;11,'Investment Log'!$M$8:$M$500,0)+7,"")</f>
        <v/>
      </c>
    </row>
    <row r="19" customFormat="false" ht="18" hidden="false" customHeight="true" outlineLevel="0" collapsed="false">
      <c r="A19" s="61" t="str">
        <f aca="false">IF($H19="","",INDEX('Investment Log'!$B:$B,$H19))</f>
        <v/>
      </c>
      <c r="B19" s="51" t="str">
        <f aca="false">IF($H19="","",T(INDEX('Investment Log'!$D:$D,$H19)))</f>
        <v/>
      </c>
      <c r="C19" s="62" t="str">
        <f aca="false">IF($H19="","",INDEX('Investment Log'!$E:$E,$H19))</f>
        <v/>
      </c>
      <c r="D19" s="20" t="str">
        <f aca="false">IF($H19="","",T(INDEX('Investment Log'!$G:$G,$H19)))</f>
        <v/>
      </c>
      <c r="E19" s="20" t="str">
        <f aca="false">IF($H19="","",T(INDEX('Investment Log'!$H:$H,$H19)))</f>
        <v/>
      </c>
      <c r="F19" s="25" t="str">
        <f aca="false">IF($H19="","",SUM($C$8:$C19))</f>
        <v/>
      </c>
      <c r="H19" s="0" t="str">
        <f aca="false">IFERROR(MATCH("Stocks|"&amp;12,'Investment Log'!$M$8:$M$500,0)+7,"")</f>
        <v/>
      </c>
    </row>
    <row r="20" customFormat="false" ht="18" hidden="false" customHeight="true" outlineLevel="0" collapsed="false">
      <c r="A20" s="56" t="str">
        <f aca="false">IF($H20="","",INDEX('Investment Log'!$B:$B,$H20))</f>
        <v/>
      </c>
      <c r="B20" s="57" t="str">
        <f aca="false">IF($H20="","",T(INDEX('Investment Log'!$D:$D,$H20)))</f>
        <v/>
      </c>
      <c r="C20" s="58" t="str">
        <f aca="false">IF($H20="","",INDEX('Investment Log'!$E:$E,$H20))</f>
        <v/>
      </c>
      <c r="D20" s="10" t="str">
        <f aca="false">IF($H20="","",T(INDEX('Investment Log'!$G:$G,$H20)))</f>
        <v/>
      </c>
      <c r="E20" s="10" t="str">
        <f aca="false">IF($H20="","",T(INDEX('Investment Log'!$H:$H,$H20)))</f>
        <v/>
      </c>
      <c r="F20" s="15" t="str">
        <f aca="false">IF($H20="","",SUM($C$8:$C20))</f>
        <v/>
      </c>
      <c r="H20" s="0" t="str">
        <f aca="false">IFERROR(MATCH("Stocks|"&amp;13,'Investment Log'!$M$8:$M$500,0)+7,"")</f>
        <v/>
      </c>
    </row>
    <row r="21" customFormat="false" ht="18" hidden="false" customHeight="true" outlineLevel="0" collapsed="false">
      <c r="A21" s="61" t="str">
        <f aca="false">IF($H21="","",INDEX('Investment Log'!$B:$B,$H21))</f>
        <v/>
      </c>
      <c r="B21" s="51" t="str">
        <f aca="false">IF($H21="","",T(INDEX('Investment Log'!$D:$D,$H21)))</f>
        <v/>
      </c>
      <c r="C21" s="62" t="str">
        <f aca="false">IF($H21="","",INDEX('Investment Log'!$E:$E,$H21))</f>
        <v/>
      </c>
      <c r="D21" s="20" t="str">
        <f aca="false">IF($H21="","",T(INDEX('Investment Log'!$G:$G,$H21)))</f>
        <v/>
      </c>
      <c r="E21" s="20" t="str">
        <f aca="false">IF($H21="","",T(INDEX('Investment Log'!$H:$H,$H21)))</f>
        <v/>
      </c>
      <c r="F21" s="25" t="str">
        <f aca="false">IF($H21="","",SUM($C$8:$C21))</f>
        <v/>
      </c>
      <c r="H21" s="0" t="str">
        <f aca="false">IFERROR(MATCH("Stocks|"&amp;14,'Investment Log'!$M$8:$M$500,0)+7,"")</f>
        <v/>
      </c>
    </row>
    <row r="22" customFormat="false" ht="18" hidden="false" customHeight="true" outlineLevel="0" collapsed="false">
      <c r="A22" s="56" t="str">
        <f aca="false">IF($H22="","",INDEX('Investment Log'!$B:$B,$H22))</f>
        <v/>
      </c>
      <c r="B22" s="57" t="str">
        <f aca="false">IF($H22="","",T(INDEX('Investment Log'!$D:$D,$H22)))</f>
        <v/>
      </c>
      <c r="C22" s="58" t="str">
        <f aca="false">IF($H22="","",INDEX('Investment Log'!$E:$E,$H22))</f>
        <v/>
      </c>
      <c r="D22" s="10" t="str">
        <f aca="false">IF($H22="","",T(INDEX('Investment Log'!$G:$G,$H22)))</f>
        <v/>
      </c>
      <c r="E22" s="10" t="str">
        <f aca="false">IF($H22="","",T(INDEX('Investment Log'!$H:$H,$H22)))</f>
        <v/>
      </c>
      <c r="F22" s="15" t="str">
        <f aca="false">IF($H22="","",SUM($C$8:$C22))</f>
        <v/>
      </c>
      <c r="H22" s="0" t="str">
        <f aca="false">IFERROR(MATCH("Stocks|"&amp;15,'Investment Log'!$M$8:$M$500,0)+7,"")</f>
        <v/>
      </c>
    </row>
    <row r="23" customFormat="false" ht="18" hidden="false" customHeight="true" outlineLevel="0" collapsed="false">
      <c r="A23" s="61" t="str">
        <f aca="false">IF($H23="","",INDEX('Investment Log'!$B:$B,$H23))</f>
        <v/>
      </c>
      <c r="B23" s="51" t="str">
        <f aca="false">IF($H23="","",T(INDEX('Investment Log'!$D:$D,$H23)))</f>
        <v/>
      </c>
      <c r="C23" s="62" t="str">
        <f aca="false">IF($H23="","",INDEX('Investment Log'!$E:$E,$H23))</f>
        <v/>
      </c>
      <c r="D23" s="20" t="str">
        <f aca="false">IF($H23="","",T(INDEX('Investment Log'!$G:$G,$H23)))</f>
        <v/>
      </c>
      <c r="E23" s="20" t="str">
        <f aca="false">IF($H23="","",T(INDEX('Investment Log'!$H:$H,$H23)))</f>
        <v/>
      </c>
      <c r="F23" s="25" t="str">
        <f aca="false">IF($H23="","",SUM($C$8:$C23))</f>
        <v/>
      </c>
      <c r="H23" s="0" t="str">
        <f aca="false">IFERROR(MATCH("Stocks|"&amp;16,'Investment Log'!$M$8:$M$500,0)+7,"")</f>
        <v/>
      </c>
    </row>
    <row r="24" customFormat="false" ht="18" hidden="false" customHeight="true" outlineLevel="0" collapsed="false">
      <c r="A24" s="56" t="str">
        <f aca="false">IF($H24="","",INDEX('Investment Log'!$B:$B,$H24))</f>
        <v/>
      </c>
      <c r="B24" s="57" t="str">
        <f aca="false">IF($H24="","",T(INDEX('Investment Log'!$D:$D,$H24)))</f>
        <v/>
      </c>
      <c r="C24" s="58" t="str">
        <f aca="false">IF($H24="","",INDEX('Investment Log'!$E:$E,$H24))</f>
        <v/>
      </c>
      <c r="D24" s="10" t="str">
        <f aca="false">IF($H24="","",T(INDEX('Investment Log'!$G:$G,$H24)))</f>
        <v/>
      </c>
      <c r="E24" s="10" t="str">
        <f aca="false">IF($H24="","",T(INDEX('Investment Log'!$H:$H,$H24)))</f>
        <v/>
      </c>
      <c r="F24" s="15" t="str">
        <f aca="false">IF($H24="","",SUM($C$8:$C24))</f>
        <v/>
      </c>
      <c r="H24" s="0" t="str">
        <f aca="false">IFERROR(MATCH("Stocks|"&amp;17,'Investment Log'!$M$8:$M$500,0)+7,"")</f>
        <v/>
      </c>
    </row>
    <row r="25" customFormat="false" ht="18" hidden="false" customHeight="true" outlineLevel="0" collapsed="false">
      <c r="A25" s="61" t="str">
        <f aca="false">IF($H25="","",INDEX('Investment Log'!$B:$B,$H25))</f>
        <v/>
      </c>
      <c r="B25" s="51" t="str">
        <f aca="false">IF($H25="","",T(INDEX('Investment Log'!$D:$D,$H25)))</f>
        <v/>
      </c>
      <c r="C25" s="62" t="str">
        <f aca="false">IF($H25="","",INDEX('Investment Log'!$E:$E,$H25))</f>
        <v/>
      </c>
      <c r="D25" s="20" t="str">
        <f aca="false">IF($H25="","",T(INDEX('Investment Log'!$G:$G,$H25)))</f>
        <v/>
      </c>
      <c r="E25" s="20" t="str">
        <f aca="false">IF($H25="","",T(INDEX('Investment Log'!$H:$H,$H25)))</f>
        <v/>
      </c>
      <c r="F25" s="25" t="str">
        <f aca="false">IF($H25="","",SUM($C$8:$C25))</f>
        <v/>
      </c>
      <c r="H25" s="0" t="str">
        <f aca="false">IFERROR(MATCH("Stocks|"&amp;18,'Investment Log'!$M$8:$M$500,0)+7,"")</f>
        <v/>
      </c>
    </row>
    <row r="26" customFormat="false" ht="18" hidden="false" customHeight="true" outlineLevel="0" collapsed="false">
      <c r="A26" s="56" t="str">
        <f aca="false">IF($H26="","",INDEX('Investment Log'!$B:$B,$H26))</f>
        <v/>
      </c>
      <c r="B26" s="57" t="str">
        <f aca="false">IF($H26="","",T(INDEX('Investment Log'!$D:$D,$H26)))</f>
        <v/>
      </c>
      <c r="C26" s="58" t="str">
        <f aca="false">IF($H26="","",INDEX('Investment Log'!$E:$E,$H26))</f>
        <v/>
      </c>
      <c r="D26" s="10" t="str">
        <f aca="false">IF($H26="","",T(INDEX('Investment Log'!$G:$G,$H26)))</f>
        <v/>
      </c>
      <c r="E26" s="10" t="str">
        <f aca="false">IF($H26="","",T(INDEX('Investment Log'!$H:$H,$H26)))</f>
        <v/>
      </c>
      <c r="F26" s="15" t="str">
        <f aca="false">IF($H26="","",SUM($C$8:$C26))</f>
        <v/>
      </c>
      <c r="H26" s="0" t="str">
        <f aca="false">IFERROR(MATCH("Stocks|"&amp;19,'Investment Log'!$M$8:$M$500,0)+7,"")</f>
        <v/>
      </c>
    </row>
    <row r="27" customFormat="false" ht="18" hidden="false" customHeight="true" outlineLevel="0" collapsed="false">
      <c r="A27" s="61" t="str">
        <f aca="false">IF($H27="","",INDEX('Investment Log'!$B:$B,$H27))</f>
        <v/>
      </c>
      <c r="B27" s="51" t="str">
        <f aca="false">IF($H27="","",T(INDEX('Investment Log'!$D:$D,$H27)))</f>
        <v/>
      </c>
      <c r="C27" s="62" t="str">
        <f aca="false">IF($H27="","",INDEX('Investment Log'!$E:$E,$H27))</f>
        <v/>
      </c>
      <c r="D27" s="20" t="str">
        <f aca="false">IF($H27="","",T(INDEX('Investment Log'!$G:$G,$H27)))</f>
        <v/>
      </c>
      <c r="E27" s="20" t="str">
        <f aca="false">IF($H27="","",T(INDEX('Investment Log'!$H:$H,$H27)))</f>
        <v/>
      </c>
      <c r="F27" s="25" t="str">
        <f aca="false">IF($H27="","",SUM($C$8:$C27))</f>
        <v/>
      </c>
      <c r="H27" s="0" t="str">
        <f aca="false">IFERROR(MATCH("Stocks|"&amp;20,'Investment Log'!$M$8:$M$500,0)+7,"")</f>
        <v/>
      </c>
    </row>
    <row r="28" customFormat="false" ht="18" hidden="false" customHeight="true" outlineLevel="0" collapsed="false">
      <c r="A28" s="56" t="str">
        <f aca="false">IF($H28="","",INDEX('Investment Log'!$B:$B,$H28))</f>
        <v/>
      </c>
      <c r="B28" s="57" t="str">
        <f aca="false">IF($H28="","",T(INDEX('Investment Log'!$D:$D,$H28)))</f>
        <v/>
      </c>
      <c r="C28" s="58" t="str">
        <f aca="false">IF($H28="","",INDEX('Investment Log'!$E:$E,$H28))</f>
        <v/>
      </c>
      <c r="D28" s="10" t="str">
        <f aca="false">IF($H28="","",T(INDEX('Investment Log'!$G:$G,$H28)))</f>
        <v/>
      </c>
      <c r="E28" s="10" t="str">
        <f aca="false">IF($H28="","",T(INDEX('Investment Log'!$H:$H,$H28)))</f>
        <v/>
      </c>
      <c r="F28" s="15" t="str">
        <f aca="false">IF($H28="","",SUM($C$8:$C28))</f>
        <v/>
      </c>
      <c r="H28" s="0" t="str">
        <f aca="false">IFERROR(MATCH("Stocks|"&amp;21,'Investment Log'!$M$8:$M$500,0)+7,"")</f>
        <v/>
      </c>
    </row>
    <row r="29" customFormat="false" ht="18" hidden="false" customHeight="true" outlineLevel="0" collapsed="false">
      <c r="A29" s="61" t="str">
        <f aca="false">IF($H29="","",INDEX('Investment Log'!$B:$B,$H29))</f>
        <v/>
      </c>
      <c r="B29" s="51" t="str">
        <f aca="false">IF($H29="","",T(INDEX('Investment Log'!$D:$D,$H29)))</f>
        <v/>
      </c>
      <c r="C29" s="62" t="str">
        <f aca="false">IF($H29="","",INDEX('Investment Log'!$E:$E,$H29))</f>
        <v/>
      </c>
      <c r="D29" s="20" t="str">
        <f aca="false">IF($H29="","",T(INDEX('Investment Log'!$G:$G,$H29)))</f>
        <v/>
      </c>
      <c r="E29" s="20" t="str">
        <f aca="false">IF($H29="","",T(INDEX('Investment Log'!$H:$H,$H29)))</f>
        <v/>
      </c>
      <c r="F29" s="25" t="str">
        <f aca="false">IF($H29="","",SUM($C$8:$C29))</f>
        <v/>
      </c>
      <c r="H29" s="0" t="str">
        <f aca="false">IFERROR(MATCH("Stocks|"&amp;22,'Investment Log'!$M$8:$M$500,0)+7,"")</f>
        <v/>
      </c>
    </row>
    <row r="30" customFormat="false" ht="18" hidden="false" customHeight="true" outlineLevel="0" collapsed="false">
      <c r="A30" s="56" t="str">
        <f aca="false">IF($H30="","",INDEX('Investment Log'!$B:$B,$H30))</f>
        <v/>
      </c>
      <c r="B30" s="57" t="str">
        <f aca="false">IF($H30="","",T(INDEX('Investment Log'!$D:$D,$H30)))</f>
        <v/>
      </c>
      <c r="C30" s="58" t="str">
        <f aca="false">IF($H30="","",INDEX('Investment Log'!$E:$E,$H30))</f>
        <v/>
      </c>
      <c r="D30" s="10" t="str">
        <f aca="false">IF($H30="","",T(INDEX('Investment Log'!$G:$G,$H30)))</f>
        <v/>
      </c>
      <c r="E30" s="10" t="str">
        <f aca="false">IF($H30="","",T(INDEX('Investment Log'!$H:$H,$H30)))</f>
        <v/>
      </c>
      <c r="F30" s="15" t="str">
        <f aca="false">IF($H30="","",SUM($C$8:$C30))</f>
        <v/>
      </c>
      <c r="H30" s="0" t="str">
        <f aca="false">IFERROR(MATCH("Stocks|"&amp;23,'Investment Log'!$M$8:$M$500,0)+7,"")</f>
        <v/>
      </c>
    </row>
    <row r="31" customFormat="false" ht="18" hidden="false" customHeight="true" outlineLevel="0" collapsed="false">
      <c r="A31" s="61" t="str">
        <f aca="false">IF($H31="","",INDEX('Investment Log'!$B:$B,$H31))</f>
        <v/>
      </c>
      <c r="B31" s="51" t="str">
        <f aca="false">IF($H31="","",T(INDEX('Investment Log'!$D:$D,$H31)))</f>
        <v/>
      </c>
      <c r="C31" s="62" t="str">
        <f aca="false">IF($H31="","",INDEX('Investment Log'!$E:$E,$H31))</f>
        <v/>
      </c>
      <c r="D31" s="20" t="str">
        <f aca="false">IF($H31="","",T(INDEX('Investment Log'!$G:$G,$H31)))</f>
        <v/>
      </c>
      <c r="E31" s="20" t="str">
        <f aca="false">IF($H31="","",T(INDEX('Investment Log'!$H:$H,$H31)))</f>
        <v/>
      </c>
      <c r="F31" s="25" t="str">
        <f aca="false">IF($H31="","",SUM($C$8:$C31))</f>
        <v/>
      </c>
      <c r="H31" s="0" t="str">
        <f aca="false">IFERROR(MATCH("Stocks|"&amp;24,'Investment Log'!$M$8:$M$500,0)+7,"")</f>
        <v/>
      </c>
    </row>
    <row r="32" customFormat="false" ht="18" hidden="false" customHeight="true" outlineLevel="0" collapsed="false">
      <c r="A32" s="56" t="str">
        <f aca="false">IF($H32="","",INDEX('Investment Log'!$B:$B,$H32))</f>
        <v/>
      </c>
      <c r="B32" s="57" t="str">
        <f aca="false">IF($H32="","",T(INDEX('Investment Log'!$D:$D,$H32)))</f>
        <v/>
      </c>
      <c r="C32" s="58" t="str">
        <f aca="false">IF($H32="","",INDEX('Investment Log'!$E:$E,$H32))</f>
        <v/>
      </c>
      <c r="D32" s="10" t="str">
        <f aca="false">IF($H32="","",T(INDEX('Investment Log'!$G:$G,$H32)))</f>
        <v/>
      </c>
      <c r="E32" s="10" t="str">
        <f aca="false">IF($H32="","",T(INDEX('Investment Log'!$H:$H,$H32)))</f>
        <v/>
      </c>
      <c r="F32" s="15" t="str">
        <f aca="false">IF($H32="","",SUM($C$8:$C32))</f>
        <v/>
      </c>
      <c r="H32" s="0" t="str">
        <f aca="false">IFERROR(MATCH("Stocks|"&amp;25,'Investment Log'!$M$8:$M$500,0)+7,"")</f>
        <v/>
      </c>
    </row>
    <row r="33" customFormat="false" ht="18" hidden="false" customHeight="true" outlineLevel="0" collapsed="false">
      <c r="A33" s="61" t="str">
        <f aca="false">IF($H33="","",INDEX('Investment Log'!$B:$B,$H33))</f>
        <v/>
      </c>
      <c r="B33" s="51" t="str">
        <f aca="false">IF($H33="","",T(INDEX('Investment Log'!$D:$D,$H33)))</f>
        <v/>
      </c>
      <c r="C33" s="62" t="str">
        <f aca="false">IF($H33="","",INDEX('Investment Log'!$E:$E,$H33))</f>
        <v/>
      </c>
      <c r="D33" s="20" t="str">
        <f aca="false">IF($H33="","",T(INDEX('Investment Log'!$G:$G,$H33)))</f>
        <v/>
      </c>
      <c r="E33" s="20" t="str">
        <f aca="false">IF($H33="","",T(INDEX('Investment Log'!$H:$H,$H33)))</f>
        <v/>
      </c>
      <c r="F33" s="25" t="str">
        <f aca="false">IF($H33="","",SUM($C$8:$C33))</f>
        <v/>
      </c>
      <c r="H33" s="0" t="str">
        <f aca="false">IFERROR(MATCH("Stocks|"&amp;26,'Investment Log'!$M$8:$M$500,0)+7,"")</f>
        <v/>
      </c>
    </row>
    <row r="34" customFormat="false" ht="18" hidden="false" customHeight="true" outlineLevel="0" collapsed="false">
      <c r="A34" s="56" t="str">
        <f aca="false">IF($H34="","",INDEX('Investment Log'!$B:$B,$H34))</f>
        <v/>
      </c>
      <c r="B34" s="57" t="str">
        <f aca="false">IF($H34="","",T(INDEX('Investment Log'!$D:$D,$H34)))</f>
        <v/>
      </c>
      <c r="C34" s="58" t="str">
        <f aca="false">IF($H34="","",INDEX('Investment Log'!$E:$E,$H34))</f>
        <v/>
      </c>
      <c r="D34" s="10" t="str">
        <f aca="false">IF($H34="","",T(INDEX('Investment Log'!$G:$G,$H34)))</f>
        <v/>
      </c>
      <c r="E34" s="10" t="str">
        <f aca="false">IF($H34="","",T(INDEX('Investment Log'!$H:$H,$H34)))</f>
        <v/>
      </c>
      <c r="F34" s="15" t="str">
        <f aca="false">IF($H34="","",SUM($C$8:$C34))</f>
        <v/>
      </c>
      <c r="H34" s="0" t="str">
        <f aca="false">IFERROR(MATCH("Stocks|"&amp;27,'Investment Log'!$M$8:$M$500,0)+7,"")</f>
        <v/>
      </c>
    </row>
    <row r="35" customFormat="false" ht="18" hidden="false" customHeight="true" outlineLevel="0" collapsed="false">
      <c r="A35" s="61" t="str">
        <f aca="false">IF($H35="","",INDEX('Investment Log'!$B:$B,$H35))</f>
        <v/>
      </c>
      <c r="B35" s="51" t="str">
        <f aca="false">IF($H35="","",T(INDEX('Investment Log'!$D:$D,$H35)))</f>
        <v/>
      </c>
      <c r="C35" s="62" t="str">
        <f aca="false">IF($H35="","",INDEX('Investment Log'!$E:$E,$H35))</f>
        <v/>
      </c>
      <c r="D35" s="20" t="str">
        <f aca="false">IF($H35="","",T(INDEX('Investment Log'!$G:$G,$H35)))</f>
        <v/>
      </c>
      <c r="E35" s="20" t="str">
        <f aca="false">IF($H35="","",T(INDEX('Investment Log'!$H:$H,$H35)))</f>
        <v/>
      </c>
      <c r="F35" s="25" t="str">
        <f aca="false">IF($H35="","",SUM($C$8:$C35))</f>
        <v/>
      </c>
      <c r="H35" s="0" t="str">
        <f aca="false">IFERROR(MATCH("Stocks|"&amp;28,'Investment Log'!$M$8:$M$500,0)+7,"")</f>
        <v/>
      </c>
    </row>
    <row r="36" customFormat="false" ht="18" hidden="false" customHeight="true" outlineLevel="0" collapsed="false">
      <c r="A36" s="56" t="str">
        <f aca="false">IF($H36="","",INDEX('Investment Log'!$B:$B,$H36))</f>
        <v/>
      </c>
      <c r="B36" s="57" t="str">
        <f aca="false">IF($H36="","",T(INDEX('Investment Log'!$D:$D,$H36)))</f>
        <v/>
      </c>
      <c r="C36" s="58" t="str">
        <f aca="false">IF($H36="","",INDEX('Investment Log'!$E:$E,$H36))</f>
        <v/>
      </c>
      <c r="D36" s="10" t="str">
        <f aca="false">IF($H36="","",T(INDEX('Investment Log'!$G:$G,$H36)))</f>
        <v/>
      </c>
      <c r="E36" s="10" t="str">
        <f aca="false">IF($H36="","",T(INDEX('Investment Log'!$H:$H,$H36)))</f>
        <v/>
      </c>
      <c r="F36" s="15" t="str">
        <f aca="false">IF($H36="","",SUM($C$8:$C36))</f>
        <v/>
      </c>
      <c r="H36" s="0" t="str">
        <f aca="false">IFERROR(MATCH("Stocks|"&amp;29,'Investment Log'!$M$8:$M$500,0)+7,"")</f>
        <v/>
      </c>
    </row>
    <row r="37" customFormat="false" ht="18" hidden="false" customHeight="true" outlineLevel="0" collapsed="false">
      <c r="A37" s="61" t="str">
        <f aca="false">IF($H37="","",INDEX('Investment Log'!$B:$B,$H37))</f>
        <v/>
      </c>
      <c r="B37" s="51" t="str">
        <f aca="false">IF($H37="","",T(INDEX('Investment Log'!$D:$D,$H37)))</f>
        <v/>
      </c>
      <c r="C37" s="62" t="str">
        <f aca="false">IF($H37="","",INDEX('Investment Log'!$E:$E,$H37))</f>
        <v/>
      </c>
      <c r="D37" s="20" t="str">
        <f aca="false">IF($H37="","",T(INDEX('Investment Log'!$G:$G,$H37)))</f>
        <v/>
      </c>
      <c r="E37" s="20" t="str">
        <f aca="false">IF($H37="","",T(INDEX('Investment Log'!$H:$H,$H37)))</f>
        <v/>
      </c>
      <c r="F37" s="25" t="str">
        <f aca="false">IF($H37="","",SUM($C$8:$C37))</f>
        <v/>
      </c>
      <c r="H37" s="0" t="str">
        <f aca="false">IFERROR(MATCH("Stocks|"&amp;30,'Investment Log'!$M$8:$M$500,0)+7,"")</f>
        <v/>
      </c>
    </row>
    <row r="38" customFormat="false" ht="18" hidden="false" customHeight="true" outlineLevel="0" collapsed="false">
      <c r="A38" s="56" t="str">
        <f aca="false">IF($H38="","",INDEX('Investment Log'!$B:$B,$H38))</f>
        <v/>
      </c>
      <c r="B38" s="57" t="str">
        <f aca="false">IF($H38="","",T(INDEX('Investment Log'!$D:$D,$H38)))</f>
        <v/>
      </c>
      <c r="C38" s="58" t="str">
        <f aca="false">IF($H38="","",INDEX('Investment Log'!$E:$E,$H38))</f>
        <v/>
      </c>
      <c r="D38" s="10" t="str">
        <f aca="false">IF($H38="","",T(INDEX('Investment Log'!$G:$G,$H38)))</f>
        <v/>
      </c>
      <c r="E38" s="10" t="str">
        <f aca="false">IF($H38="","",T(INDEX('Investment Log'!$H:$H,$H38)))</f>
        <v/>
      </c>
      <c r="F38" s="15" t="str">
        <f aca="false">IF($H38="","",SUM($C$8:$C38))</f>
        <v/>
      </c>
      <c r="H38" s="0" t="str">
        <f aca="false">IFERROR(MATCH("Stocks|"&amp;31,'Investment Log'!$M$8:$M$500,0)+7,"")</f>
        <v/>
      </c>
    </row>
    <row r="39" customFormat="false" ht="18" hidden="false" customHeight="true" outlineLevel="0" collapsed="false">
      <c r="A39" s="61" t="str">
        <f aca="false">IF($H39="","",INDEX('Investment Log'!$B:$B,$H39))</f>
        <v/>
      </c>
      <c r="B39" s="51" t="str">
        <f aca="false">IF($H39="","",T(INDEX('Investment Log'!$D:$D,$H39)))</f>
        <v/>
      </c>
      <c r="C39" s="62" t="str">
        <f aca="false">IF($H39="","",INDEX('Investment Log'!$E:$E,$H39))</f>
        <v/>
      </c>
      <c r="D39" s="20" t="str">
        <f aca="false">IF($H39="","",T(INDEX('Investment Log'!$G:$G,$H39)))</f>
        <v/>
      </c>
      <c r="E39" s="20" t="str">
        <f aca="false">IF($H39="","",T(INDEX('Investment Log'!$H:$H,$H39)))</f>
        <v/>
      </c>
      <c r="F39" s="25" t="str">
        <f aca="false">IF($H39="","",SUM($C$8:$C39))</f>
        <v/>
      </c>
      <c r="H39" s="0" t="str">
        <f aca="false">IFERROR(MATCH("Stocks|"&amp;32,'Investment Log'!$M$8:$M$500,0)+7,"")</f>
        <v/>
      </c>
    </row>
    <row r="40" customFormat="false" ht="18" hidden="false" customHeight="true" outlineLevel="0" collapsed="false">
      <c r="A40" s="56" t="str">
        <f aca="false">IF($H40="","",INDEX('Investment Log'!$B:$B,$H40))</f>
        <v/>
      </c>
      <c r="B40" s="57" t="str">
        <f aca="false">IF($H40="","",T(INDEX('Investment Log'!$D:$D,$H40)))</f>
        <v/>
      </c>
      <c r="C40" s="58" t="str">
        <f aca="false">IF($H40="","",INDEX('Investment Log'!$E:$E,$H40))</f>
        <v/>
      </c>
      <c r="D40" s="10" t="str">
        <f aca="false">IF($H40="","",T(INDEX('Investment Log'!$G:$G,$H40)))</f>
        <v/>
      </c>
      <c r="E40" s="10" t="str">
        <f aca="false">IF($H40="","",T(INDEX('Investment Log'!$H:$H,$H40)))</f>
        <v/>
      </c>
      <c r="F40" s="15" t="str">
        <f aca="false">IF($H40="","",SUM($C$8:$C40))</f>
        <v/>
      </c>
      <c r="H40" s="0" t="str">
        <f aca="false">IFERROR(MATCH("Stocks|"&amp;33,'Investment Log'!$M$8:$M$500,0)+7,"")</f>
        <v/>
      </c>
    </row>
    <row r="41" customFormat="false" ht="18" hidden="false" customHeight="true" outlineLevel="0" collapsed="false">
      <c r="A41" s="61" t="str">
        <f aca="false">IF($H41="","",INDEX('Investment Log'!$B:$B,$H41))</f>
        <v/>
      </c>
      <c r="B41" s="51" t="str">
        <f aca="false">IF($H41="","",T(INDEX('Investment Log'!$D:$D,$H41)))</f>
        <v/>
      </c>
      <c r="C41" s="62" t="str">
        <f aca="false">IF($H41="","",INDEX('Investment Log'!$E:$E,$H41))</f>
        <v/>
      </c>
      <c r="D41" s="20" t="str">
        <f aca="false">IF($H41="","",T(INDEX('Investment Log'!$G:$G,$H41)))</f>
        <v/>
      </c>
      <c r="E41" s="20" t="str">
        <f aca="false">IF($H41="","",T(INDEX('Investment Log'!$H:$H,$H41)))</f>
        <v/>
      </c>
      <c r="F41" s="25" t="str">
        <f aca="false">IF($H41="","",SUM($C$8:$C41))</f>
        <v/>
      </c>
      <c r="H41" s="0" t="str">
        <f aca="false">IFERROR(MATCH("Stocks|"&amp;34,'Investment Log'!$M$8:$M$500,0)+7,"")</f>
        <v/>
      </c>
    </row>
    <row r="42" customFormat="false" ht="18" hidden="false" customHeight="true" outlineLevel="0" collapsed="false">
      <c r="A42" s="56" t="str">
        <f aca="false">IF($H42="","",INDEX('Investment Log'!$B:$B,$H42))</f>
        <v/>
      </c>
      <c r="B42" s="57" t="str">
        <f aca="false">IF($H42="","",T(INDEX('Investment Log'!$D:$D,$H42)))</f>
        <v/>
      </c>
      <c r="C42" s="58" t="str">
        <f aca="false">IF($H42="","",INDEX('Investment Log'!$E:$E,$H42))</f>
        <v/>
      </c>
      <c r="D42" s="10" t="str">
        <f aca="false">IF($H42="","",T(INDEX('Investment Log'!$G:$G,$H42)))</f>
        <v/>
      </c>
      <c r="E42" s="10" t="str">
        <f aca="false">IF($H42="","",T(INDEX('Investment Log'!$H:$H,$H42)))</f>
        <v/>
      </c>
      <c r="F42" s="15" t="str">
        <f aca="false">IF($H42="","",SUM($C$8:$C42))</f>
        <v/>
      </c>
      <c r="H42" s="0" t="str">
        <f aca="false">IFERROR(MATCH("Stocks|"&amp;35,'Investment Log'!$M$8:$M$500,0)+7,"")</f>
        <v/>
      </c>
    </row>
    <row r="43" customFormat="false" ht="18" hidden="false" customHeight="true" outlineLevel="0" collapsed="false">
      <c r="A43" s="61" t="str">
        <f aca="false">IF($H43="","",INDEX('Investment Log'!$B:$B,$H43))</f>
        <v/>
      </c>
      <c r="B43" s="51" t="str">
        <f aca="false">IF($H43="","",T(INDEX('Investment Log'!$D:$D,$H43)))</f>
        <v/>
      </c>
      <c r="C43" s="62" t="str">
        <f aca="false">IF($H43="","",INDEX('Investment Log'!$E:$E,$H43))</f>
        <v/>
      </c>
      <c r="D43" s="20" t="str">
        <f aca="false">IF($H43="","",T(INDEX('Investment Log'!$G:$G,$H43)))</f>
        <v/>
      </c>
      <c r="E43" s="20" t="str">
        <f aca="false">IF($H43="","",T(INDEX('Investment Log'!$H:$H,$H43)))</f>
        <v/>
      </c>
      <c r="F43" s="25" t="str">
        <f aca="false">IF($H43="","",SUM($C$8:$C43))</f>
        <v/>
      </c>
      <c r="H43" s="0" t="str">
        <f aca="false">IFERROR(MATCH("Stocks|"&amp;36,'Investment Log'!$M$8:$M$500,0)+7,"")</f>
        <v/>
      </c>
    </row>
    <row r="44" customFormat="false" ht="18" hidden="false" customHeight="true" outlineLevel="0" collapsed="false">
      <c r="A44" s="56" t="str">
        <f aca="false">IF($H44="","",INDEX('Investment Log'!$B:$B,$H44))</f>
        <v/>
      </c>
      <c r="B44" s="57" t="str">
        <f aca="false">IF($H44="","",T(INDEX('Investment Log'!$D:$D,$H44)))</f>
        <v/>
      </c>
      <c r="C44" s="58" t="str">
        <f aca="false">IF($H44="","",INDEX('Investment Log'!$E:$E,$H44))</f>
        <v/>
      </c>
      <c r="D44" s="10" t="str">
        <f aca="false">IF($H44="","",T(INDEX('Investment Log'!$G:$G,$H44)))</f>
        <v/>
      </c>
      <c r="E44" s="10" t="str">
        <f aca="false">IF($H44="","",T(INDEX('Investment Log'!$H:$H,$H44)))</f>
        <v/>
      </c>
      <c r="F44" s="15" t="str">
        <f aca="false">IF($H44="","",SUM($C$8:$C44))</f>
        <v/>
      </c>
      <c r="H44" s="0" t="str">
        <f aca="false">IFERROR(MATCH("Stocks|"&amp;37,'Investment Log'!$M$8:$M$500,0)+7,"")</f>
        <v/>
      </c>
    </row>
    <row r="45" customFormat="false" ht="18" hidden="false" customHeight="true" outlineLevel="0" collapsed="false">
      <c r="A45" s="61" t="str">
        <f aca="false">IF($H45="","",INDEX('Investment Log'!$B:$B,$H45))</f>
        <v/>
      </c>
      <c r="B45" s="51" t="str">
        <f aca="false">IF($H45="","",T(INDEX('Investment Log'!$D:$D,$H45)))</f>
        <v/>
      </c>
      <c r="C45" s="62" t="str">
        <f aca="false">IF($H45="","",INDEX('Investment Log'!$E:$E,$H45))</f>
        <v/>
      </c>
      <c r="D45" s="20" t="str">
        <f aca="false">IF($H45="","",T(INDEX('Investment Log'!$G:$G,$H45)))</f>
        <v/>
      </c>
      <c r="E45" s="20" t="str">
        <f aca="false">IF($H45="","",T(INDEX('Investment Log'!$H:$H,$H45)))</f>
        <v/>
      </c>
      <c r="F45" s="25" t="str">
        <f aca="false">IF($H45="","",SUM($C$8:$C45))</f>
        <v/>
      </c>
      <c r="H45" s="0" t="str">
        <f aca="false">IFERROR(MATCH("Stocks|"&amp;38,'Investment Log'!$M$8:$M$500,0)+7,"")</f>
        <v/>
      </c>
    </row>
    <row r="46" customFormat="false" ht="18" hidden="false" customHeight="true" outlineLevel="0" collapsed="false">
      <c r="A46" s="56" t="str">
        <f aca="false">IF($H46="","",INDEX('Investment Log'!$B:$B,$H46))</f>
        <v/>
      </c>
      <c r="B46" s="57" t="str">
        <f aca="false">IF($H46="","",T(INDEX('Investment Log'!$D:$D,$H46)))</f>
        <v/>
      </c>
      <c r="C46" s="58" t="str">
        <f aca="false">IF($H46="","",INDEX('Investment Log'!$E:$E,$H46))</f>
        <v/>
      </c>
      <c r="D46" s="10" t="str">
        <f aca="false">IF($H46="","",T(INDEX('Investment Log'!$G:$G,$H46)))</f>
        <v/>
      </c>
      <c r="E46" s="10" t="str">
        <f aca="false">IF($H46="","",T(INDEX('Investment Log'!$H:$H,$H46)))</f>
        <v/>
      </c>
      <c r="F46" s="15" t="str">
        <f aca="false">IF($H46="","",SUM($C$8:$C46))</f>
        <v/>
      </c>
      <c r="H46" s="0" t="str">
        <f aca="false">IFERROR(MATCH("Stocks|"&amp;39,'Investment Log'!$M$8:$M$500,0)+7,"")</f>
        <v/>
      </c>
    </row>
    <row r="47" customFormat="false" ht="18" hidden="false" customHeight="true" outlineLevel="0" collapsed="false">
      <c r="A47" s="61" t="str">
        <f aca="false">IF($H47="","",INDEX('Investment Log'!$B:$B,$H47))</f>
        <v/>
      </c>
      <c r="B47" s="51" t="str">
        <f aca="false">IF($H47="","",T(INDEX('Investment Log'!$D:$D,$H47)))</f>
        <v/>
      </c>
      <c r="C47" s="62" t="str">
        <f aca="false">IF($H47="","",INDEX('Investment Log'!$E:$E,$H47))</f>
        <v/>
      </c>
      <c r="D47" s="20" t="str">
        <f aca="false">IF($H47="","",T(INDEX('Investment Log'!$G:$G,$H47)))</f>
        <v/>
      </c>
      <c r="E47" s="20" t="str">
        <f aca="false">IF($H47="","",T(INDEX('Investment Log'!$H:$H,$H47)))</f>
        <v/>
      </c>
      <c r="F47" s="25" t="str">
        <f aca="false">IF($H47="","",SUM($C$8:$C47))</f>
        <v/>
      </c>
      <c r="H47" s="0" t="str">
        <f aca="false">IFERROR(MATCH("Stocks|"&amp;40,'Investment Log'!$M$8:$M$500,0)+7,"")</f>
        <v/>
      </c>
    </row>
    <row r="48" customFormat="false" ht="18" hidden="false" customHeight="true" outlineLevel="0" collapsed="false">
      <c r="A48" s="56" t="str">
        <f aca="false">IF($H48="","",INDEX('Investment Log'!$B:$B,$H48))</f>
        <v/>
      </c>
      <c r="B48" s="57" t="str">
        <f aca="false">IF($H48="","",T(INDEX('Investment Log'!$D:$D,$H48)))</f>
        <v/>
      </c>
      <c r="C48" s="58" t="str">
        <f aca="false">IF($H48="","",INDEX('Investment Log'!$E:$E,$H48))</f>
        <v/>
      </c>
      <c r="D48" s="10" t="str">
        <f aca="false">IF($H48="","",T(INDEX('Investment Log'!$G:$G,$H48)))</f>
        <v/>
      </c>
      <c r="E48" s="10" t="str">
        <f aca="false">IF($H48="","",T(INDEX('Investment Log'!$H:$H,$H48)))</f>
        <v/>
      </c>
      <c r="F48" s="15" t="str">
        <f aca="false">IF($H48="","",SUM($C$8:$C48))</f>
        <v/>
      </c>
      <c r="H48" s="0" t="str">
        <f aca="false">IFERROR(MATCH("Stocks|"&amp;41,'Investment Log'!$M$8:$M$500,0)+7,"")</f>
        <v/>
      </c>
    </row>
    <row r="49" customFormat="false" ht="18" hidden="false" customHeight="true" outlineLevel="0" collapsed="false">
      <c r="A49" s="61" t="str">
        <f aca="false">IF($H49="","",INDEX('Investment Log'!$B:$B,$H49))</f>
        <v/>
      </c>
      <c r="B49" s="51" t="str">
        <f aca="false">IF($H49="","",T(INDEX('Investment Log'!$D:$D,$H49)))</f>
        <v/>
      </c>
      <c r="C49" s="62" t="str">
        <f aca="false">IF($H49="","",INDEX('Investment Log'!$E:$E,$H49))</f>
        <v/>
      </c>
      <c r="D49" s="20" t="str">
        <f aca="false">IF($H49="","",T(INDEX('Investment Log'!$G:$G,$H49)))</f>
        <v/>
      </c>
      <c r="E49" s="20" t="str">
        <f aca="false">IF($H49="","",T(INDEX('Investment Log'!$H:$H,$H49)))</f>
        <v/>
      </c>
      <c r="F49" s="25" t="str">
        <f aca="false">IF($H49="","",SUM($C$8:$C49))</f>
        <v/>
      </c>
      <c r="H49" s="0" t="str">
        <f aca="false">IFERROR(MATCH("Stocks|"&amp;42,'Investment Log'!$M$8:$M$500,0)+7,"")</f>
        <v/>
      </c>
    </row>
    <row r="50" customFormat="false" ht="18" hidden="false" customHeight="true" outlineLevel="0" collapsed="false">
      <c r="A50" s="56" t="str">
        <f aca="false">IF($H50="","",INDEX('Investment Log'!$B:$B,$H50))</f>
        <v/>
      </c>
      <c r="B50" s="57" t="str">
        <f aca="false">IF($H50="","",T(INDEX('Investment Log'!$D:$D,$H50)))</f>
        <v/>
      </c>
      <c r="C50" s="58" t="str">
        <f aca="false">IF($H50="","",INDEX('Investment Log'!$E:$E,$H50))</f>
        <v/>
      </c>
      <c r="D50" s="10" t="str">
        <f aca="false">IF($H50="","",T(INDEX('Investment Log'!$G:$G,$H50)))</f>
        <v/>
      </c>
      <c r="E50" s="10" t="str">
        <f aca="false">IF($H50="","",T(INDEX('Investment Log'!$H:$H,$H50)))</f>
        <v/>
      </c>
      <c r="F50" s="15" t="str">
        <f aca="false">IF($H50="","",SUM($C$8:$C50))</f>
        <v/>
      </c>
      <c r="H50" s="0" t="str">
        <f aca="false">IFERROR(MATCH("Stocks|"&amp;43,'Investment Log'!$M$8:$M$500,0)+7,"")</f>
        <v/>
      </c>
    </row>
    <row r="51" customFormat="false" ht="18" hidden="false" customHeight="true" outlineLevel="0" collapsed="false">
      <c r="A51" s="61" t="str">
        <f aca="false">IF($H51="","",INDEX('Investment Log'!$B:$B,$H51))</f>
        <v/>
      </c>
      <c r="B51" s="51" t="str">
        <f aca="false">IF($H51="","",T(INDEX('Investment Log'!$D:$D,$H51)))</f>
        <v/>
      </c>
      <c r="C51" s="62" t="str">
        <f aca="false">IF($H51="","",INDEX('Investment Log'!$E:$E,$H51))</f>
        <v/>
      </c>
      <c r="D51" s="20" t="str">
        <f aca="false">IF($H51="","",T(INDEX('Investment Log'!$G:$G,$H51)))</f>
        <v/>
      </c>
      <c r="E51" s="20" t="str">
        <f aca="false">IF($H51="","",T(INDEX('Investment Log'!$H:$H,$H51)))</f>
        <v/>
      </c>
      <c r="F51" s="25" t="str">
        <f aca="false">IF($H51="","",SUM($C$8:$C51))</f>
        <v/>
      </c>
      <c r="H51" s="0" t="str">
        <f aca="false">IFERROR(MATCH("Stocks|"&amp;44,'Investment Log'!$M$8:$M$500,0)+7,"")</f>
        <v/>
      </c>
    </row>
    <row r="52" customFormat="false" ht="18" hidden="false" customHeight="true" outlineLevel="0" collapsed="false">
      <c r="A52" s="56" t="str">
        <f aca="false">IF($H52="","",INDEX('Investment Log'!$B:$B,$H52))</f>
        <v/>
      </c>
      <c r="B52" s="57" t="str">
        <f aca="false">IF($H52="","",T(INDEX('Investment Log'!$D:$D,$H52)))</f>
        <v/>
      </c>
      <c r="C52" s="58" t="str">
        <f aca="false">IF($H52="","",INDEX('Investment Log'!$E:$E,$H52))</f>
        <v/>
      </c>
      <c r="D52" s="10" t="str">
        <f aca="false">IF($H52="","",T(INDEX('Investment Log'!$G:$G,$H52)))</f>
        <v/>
      </c>
      <c r="E52" s="10" t="str">
        <f aca="false">IF($H52="","",T(INDEX('Investment Log'!$H:$H,$H52)))</f>
        <v/>
      </c>
      <c r="F52" s="15" t="str">
        <f aca="false">IF($H52="","",SUM($C$8:$C52))</f>
        <v/>
      </c>
      <c r="H52" s="0" t="str">
        <f aca="false">IFERROR(MATCH("Stocks|"&amp;45,'Investment Log'!$M$8:$M$500,0)+7,"")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true" outlineLevel="0" max="8" min="8" style="0" width="13"/>
  </cols>
  <sheetData>
    <row r="1" customFormat="false" ht="27.75" hidden="false" customHeight="true" outlineLevel="0" collapsed="false">
      <c r="A1" s="71" t="s">
        <v>42</v>
      </c>
      <c r="B1" s="71"/>
      <c r="C1" s="71"/>
      <c r="D1" s="71"/>
      <c r="E1" s="71"/>
      <c r="F1" s="71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</row>
    <row r="4" customFormat="false" ht="15.75" hidden="false" customHeight="true" outlineLevel="0" collapsed="false">
      <c r="A4" s="3" t="s">
        <v>2</v>
      </c>
      <c r="B4" s="3" t="s">
        <v>4</v>
      </c>
    </row>
    <row r="5" customFormat="false" ht="24" hidden="false" customHeight="true" outlineLevel="0" collapsed="false">
      <c r="A5" s="72" t="n">
        <f aca="false">SUMIF('Investment Log'!$C$8:$C$500,"IPO",'Investment Log'!$E$8:$E$500)</f>
        <v>30000</v>
      </c>
      <c r="B5" s="55" t="n">
        <f aca="false">COUNTIF('Investment Log'!$C$8:$C$500,"IPO")</f>
        <v>1</v>
      </c>
    </row>
    <row r="7" customFormat="false" ht="27.75" hidden="false" customHeight="true" outlineLevel="0" collapsed="false">
      <c r="A7" s="7" t="s">
        <v>6</v>
      </c>
      <c r="B7" s="7" t="s">
        <v>8</v>
      </c>
      <c r="C7" s="7" t="s">
        <v>9</v>
      </c>
      <c r="D7" s="7" t="s">
        <v>11</v>
      </c>
      <c r="E7" s="7" t="s">
        <v>12</v>
      </c>
      <c r="F7" s="7" t="s">
        <v>172</v>
      </c>
    </row>
    <row r="8" customFormat="false" ht="18" hidden="false" customHeight="true" outlineLevel="0" collapsed="false">
      <c r="A8" s="56" t="n">
        <f aca="false">IF($H8="","",INDEX('Investment Log'!$B:$B,$H8))</f>
        <v>46237</v>
      </c>
      <c r="B8" s="57" t="str">
        <f aca="false">IF($H8="","",T(INDEX('Investment Log'!$D:$D,$H8)))</f>
        <v>Manipal Health</v>
      </c>
      <c r="C8" s="58" t="n">
        <f aca="false">IF($H8="","",INDEX('Investment Log'!$E:$E,$H8))</f>
        <v>30000</v>
      </c>
      <c r="D8" s="10" t="str">
        <f aca="false">IF($H8="","",T(INDEX('Investment Log'!$G:$G,$H8)))</f>
        <v>—</v>
      </c>
      <c r="E8" s="10" t="str">
        <f aca="false">IF($H8="","",T(INDEX('Investment Log'!$H:$H,$H8)))</f>
        <v>IPO. Exact date assumed = 3 Aug; confirm.</v>
      </c>
      <c r="F8" s="15" t="n">
        <f aca="false">IF($H8="","",SUM($C$8:$C8))</f>
        <v>30000</v>
      </c>
      <c r="H8" s="16" t="n">
        <f aca="false">IFERROR(MATCH("IPO|"&amp;1,'Investment Log'!$M$8:$M$500,0)+7,"")</f>
        <v>20</v>
      </c>
    </row>
    <row r="9" customFormat="false" ht="18" hidden="false" customHeight="true" outlineLevel="0" collapsed="false">
      <c r="A9" s="61" t="str">
        <f aca="false">IF($H9="","",INDEX('Investment Log'!$B:$B,$H9))</f>
        <v/>
      </c>
      <c r="B9" s="51" t="str">
        <f aca="false">IF($H9="","",T(INDEX('Investment Log'!$D:$D,$H9)))</f>
        <v/>
      </c>
      <c r="C9" s="62" t="str">
        <f aca="false">IF($H9="","",INDEX('Investment Log'!$E:$E,$H9))</f>
        <v/>
      </c>
      <c r="D9" s="20" t="str">
        <f aca="false">IF($H9="","",T(INDEX('Investment Log'!$G:$G,$H9)))</f>
        <v/>
      </c>
      <c r="E9" s="20" t="str">
        <f aca="false">IF($H9="","",T(INDEX('Investment Log'!$H:$H,$H9)))</f>
        <v/>
      </c>
      <c r="F9" s="25" t="str">
        <f aca="false">IF($H9="","",SUM($C$8:$C9))</f>
        <v/>
      </c>
      <c r="H9" s="0" t="str">
        <f aca="false">IFERROR(MATCH("IPO|"&amp;2,'Investment Log'!$M$8:$M$500,0)+7,"")</f>
        <v/>
      </c>
    </row>
    <row r="10" customFormat="false" ht="18" hidden="false" customHeight="true" outlineLevel="0" collapsed="false">
      <c r="A10" s="56" t="str">
        <f aca="false">IF($H10="","",INDEX('Investment Log'!$B:$B,$H10))</f>
        <v/>
      </c>
      <c r="B10" s="57" t="str">
        <f aca="false">IF($H10="","",T(INDEX('Investment Log'!$D:$D,$H10)))</f>
        <v/>
      </c>
      <c r="C10" s="58" t="str">
        <f aca="false">IF($H10="","",INDEX('Investment Log'!$E:$E,$H10))</f>
        <v/>
      </c>
      <c r="D10" s="10" t="str">
        <f aca="false">IF($H10="","",T(INDEX('Investment Log'!$G:$G,$H10)))</f>
        <v/>
      </c>
      <c r="E10" s="10" t="str">
        <f aca="false">IF($H10="","",T(INDEX('Investment Log'!$H:$H,$H10)))</f>
        <v/>
      </c>
      <c r="F10" s="15" t="str">
        <f aca="false">IF($H10="","",SUM($C$8:$C10))</f>
        <v/>
      </c>
      <c r="H10" s="0" t="str">
        <f aca="false">IFERROR(MATCH("IPO|"&amp;3,'Investment Log'!$M$8:$M$500,0)+7,"")</f>
        <v/>
      </c>
    </row>
    <row r="11" customFormat="false" ht="18" hidden="false" customHeight="true" outlineLevel="0" collapsed="false">
      <c r="A11" s="61" t="str">
        <f aca="false">IF($H11="","",INDEX('Investment Log'!$B:$B,$H11))</f>
        <v/>
      </c>
      <c r="B11" s="51" t="str">
        <f aca="false">IF($H11="","",T(INDEX('Investment Log'!$D:$D,$H11)))</f>
        <v/>
      </c>
      <c r="C11" s="62" t="str">
        <f aca="false">IF($H11="","",INDEX('Investment Log'!$E:$E,$H11))</f>
        <v/>
      </c>
      <c r="D11" s="20" t="str">
        <f aca="false">IF($H11="","",T(INDEX('Investment Log'!$G:$G,$H11)))</f>
        <v/>
      </c>
      <c r="E11" s="20" t="str">
        <f aca="false">IF($H11="","",T(INDEX('Investment Log'!$H:$H,$H11)))</f>
        <v/>
      </c>
      <c r="F11" s="25" t="str">
        <f aca="false">IF($H11="","",SUM($C$8:$C11))</f>
        <v/>
      </c>
      <c r="H11" s="0" t="str">
        <f aca="false">IFERROR(MATCH("IPO|"&amp;4,'Investment Log'!$M$8:$M$500,0)+7,"")</f>
        <v/>
      </c>
    </row>
    <row r="12" customFormat="false" ht="18" hidden="false" customHeight="true" outlineLevel="0" collapsed="false">
      <c r="A12" s="56" t="str">
        <f aca="false">IF($H12="","",INDEX('Investment Log'!$B:$B,$H12))</f>
        <v/>
      </c>
      <c r="B12" s="57" t="str">
        <f aca="false">IF($H12="","",T(INDEX('Investment Log'!$D:$D,$H12)))</f>
        <v/>
      </c>
      <c r="C12" s="58" t="str">
        <f aca="false">IF($H12="","",INDEX('Investment Log'!$E:$E,$H12))</f>
        <v/>
      </c>
      <c r="D12" s="10" t="str">
        <f aca="false">IF($H12="","",T(INDEX('Investment Log'!$G:$G,$H12)))</f>
        <v/>
      </c>
      <c r="E12" s="10" t="str">
        <f aca="false">IF($H12="","",T(INDEX('Investment Log'!$H:$H,$H12)))</f>
        <v/>
      </c>
      <c r="F12" s="15" t="str">
        <f aca="false">IF($H12="","",SUM($C$8:$C12))</f>
        <v/>
      </c>
      <c r="H12" s="0" t="str">
        <f aca="false">IFERROR(MATCH("IPO|"&amp;5,'Investment Log'!$M$8:$M$500,0)+7,"")</f>
        <v/>
      </c>
    </row>
    <row r="13" customFormat="false" ht="18" hidden="false" customHeight="true" outlineLevel="0" collapsed="false">
      <c r="A13" s="61" t="str">
        <f aca="false">IF($H13="","",INDEX('Investment Log'!$B:$B,$H13))</f>
        <v/>
      </c>
      <c r="B13" s="51" t="str">
        <f aca="false">IF($H13="","",T(INDEX('Investment Log'!$D:$D,$H13)))</f>
        <v/>
      </c>
      <c r="C13" s="62" t="str">
        <f aca="false">IF($H13="","",INDEX('Investment Log'!$E:$E,$H13))</f>
        <v/>
      </c>
      <c r="D13" s="20" t="str">
        <f aca="false">IF($H13="","",T(INDEX('Investment Log'!$G:$G,$H13)))</f>
        <v/>
      </c>
      <c r="E13" s="20" t="str">
        <f aca="false">IF($H13="","",T(INDEX('Investment Log'!$H:$H,$H13)))</f>
        <v/>
      </c>
      <c r="F13" s="25" t="str">
        <f aca="false">IF($H13="","",SUM($C$8:$C13))</f>
        <v/>
      </c>
      <c r="H13" s="0" t="str">
        <f aca="false">IFERROR(MATCH("IPO|"&amp;6,'Investment Log'!$M$8:$M$500,0)+7,"")</f>
        <v/>
      </c>
    </row>
    <row r="14" customFormat="false" ht="18" hidden="false" customHeight="true" outlineLevel="0" collapsed="false">
      <c r="A14" s="56" t="str">
        <f aca="false">IF($H14="","",INDEX('Investment Log'!$B:$B,$H14))</f>
        <v/>
      </c>
      <c r="B14" s="57" t="str">
        <f aca="false">IF($H14="","",T(INDEX('Investment Log'!$D:$D,$H14)))</f>
        <v/>
      </c>
      <c r="C14" s="58" t="str">
        <f aca="false">IF($H14="","",INDEX('Investment Log'!$E:$E,$H14))</f>
        <v/>
      </c>
      <c r="D14" s="10" t="str">
        <f aca="false">IF($H14="","",T(INDEX('Investment Log'!$G:$G,$H14)))</f>
        <v/>
      </c>
      <c r="E14" s="10" t="str">
        <f aca="false">IF($H14="","",T(INDEX('Investment Log'!$H:$H,$H14)))</f>
        <v/>
      </c>
      <c r="F14" s="15" t="str">
        <f aca="false">IF($H14="","",SUM($C$8:$C14))</f>
        <v/>
      </c>
      <c r="H14" s="0" t="str">
        <f aca="false">IFERROR(MATCH("IPO|"&amp;7,'Investment Log'!$M$8:$M$500,0)+7,"")</f>
        <v/>
      </c>
    </row>
    <row r="15" customFormat="false" ht="18" hidden="false" customHeight="true" outlineLevel="0" collapsed="false">
      <c r="A15" s="61" t="str">
        <f aca="false">IF($H15="","",INDEX('Investment Log'!$B:$B,$H15))</f>
        <v/>
      </c>
      <c r="B15" s="51" t="str">
        <f aca="false">IF($H15="","",T(INDEX('Investment Log'!$D:$D,$H15)))</f>
        <v/>
      </c>
      <c r="C15" s="62" t="str">
        <f aca="false">IF($H15="","",INDEX('Investment Log'!$E:$E,$H15))</f>
        <v/>
      </c>
      <c r="D15" s="20" t="str">
        <f aca="false">IF($H15="","",T(INDEX('Investment Log'!$G:$G,$H15)))</f>
        <v/>
      </c>
      <c r="E15" s="20" t="str">
        <f aca="false">IF($H15="","",T(INDEX('Investment Log'!$H:$H,$H15)))</f>
        <v/>
      </c>
      <c r="F15" s="25" t="str">
        <f aca="false">IF($H15="","",SUM($C$8:$C15))</f>
        <v/>
      </c>
      <c r="H15" s="0" t="str">
        <f aca="false">IFERROR(MATCH("IPO|"&amp;8,'Investment Log'!$M$8:$M$500,0)+7,"")</f>
        <v/>
      </c>
    </row>
    <row r="16" customFormat="false" ht="18" hidden="false" customHeight="true" outlineLevel="0" collapsed="false">
      <c r="A16" s="56" t="str">
        <f aca="false">IF($H16="","",INDEX('Investment Log'!$B:$B,$H16))</f>
        <v/>
      </c>
      <c r="B16" s="57" t="str">
        <f aca="false">IF($H16="","",T(INDEX('Investment Log'!$D:$D,$H16)))</f>
        <v/>
      </c>
      <c r="C16" s="58" t="str">
        <f aca="false">IF($H16="","",INDEX('Investment Log'!$E:$E,$H16))</f>
        <v/>
      </c>
      <c r="D16" s="10" t="str">
        <f aca="false">IF($H16="","",T(INDEX('Investment Log'!$G:$G,$H16)))</f>
        <v/>
      </c>
      <c r="E16" s="10" t="str">
        <f aca="false">IF($H16="","",T(INDEX('Investment Log'!$H:$H,$H16)))</f>
        <v/>
      </c>
      <c r="F16" s="15" t="str">
        <f aca="false">IF($H16="","",SUM($C$8:$C16))</f>
        <v/>
      </c>
      <c r="H16" s="0" t="str">
        <f aca="false">IFERROR(MATCH("IPO|"&amp;9,'Investment Log'!$M$8:$M$500,0)+7,"")</f>
        <v/>
      </c>
    </row>
    <row r="17" customFormat="false" ht="18" hidden="false" customHeight="true" outlineLevel="0" collapsed="false">
      <c r="A17" s="61" t="str">
        <f aca="false">IF($H17="","",INDEX('Investment Log'!$B:$B,$H17))</f>
        <v/>
      </c>
      <c r="B17" s="51" t="str">
        <f aca="false">IF($H17="","",T(INDEX('Investment Log'!$D:$D,$H17)))</f>
        <v/>
      </c>
      <c r="C17" s="62" t="str">
        <f aca="false">IF($H17="","",INDEX('Investment Log'!$E:$E,$H17))</f>
        <v/>
      </c>
      <c r="D17" s="20" t="str">
        <f aca="false">IF($H17="","",T(INDEX('Investment Log'!$G:$G,$H17)))</f>
        <v/>
      </c>
      <c r="E17" s="20" t="str">
        <f aca="false">IF($H17="","",T(INDEX('Investment Log'!$H:$H,$H17)))</f>
        <v/>
      </c>
      <c r="F17" s="25" t="str">
        <f aca="false">IF($H17="","",SUM($C$8:$C17))</f>
        <v/>
      </c>
      <c r="H17" s="0" t="str">
        <f aca="false">IFERROR(MATCH("IPO|"&amp;10,'Investment Log'!$M$8:$M$500,0)+7,"")</f>
        <v/>
      </c>
    </row>
    <row r="18" customFormat="false" ht="18" hidden="false" customHeight="true" outlineLevel="0" collapsed="false">
      <c r="A18" s="56" t="str">
        <f aca="false">IF($H18="","",INDEX('Investment Log'!$B:$B,$H18))</f>
        <v/>
      </c>
      <c r="B18" s="57" t="str">
        <f aca="false">IF($H18="","",T(INDEX('Investment Log'!$D:$D,$H18)))</f>
        <v/>
      </c>
      <c r="C18" s="58" t="str">
        <f aca="false">IF($H18="","",INDEX('Investment Log'!$E:$E,$H18))</f>
        <v/>
      </c>
      <c r="D18" s="10" t="str">
        <f aca="false">IF($H18="","",T(INDEX('Investment Log'!$G:$G,$H18)))</f>
        <v/>
      </c>
      <c r="E18" s="10" t="str">
        <f aca="false">IF($H18="","",T(INDEX('Investment Log'!$H:$H,$H18)))</f>
        <v/>
      </c>
      <c r="F18" s="15" t="str">
        <f aca="false">IF($H18="","",SUM($C$8:$C18))</f>
        <v/>
      </c>
      <c r="H18" s="0" t="str">
        <f aca="false">IFERROR(MATCH("IPO|"&amp;11,'Investment Log'!$M$8:$M$500,0)+7,"")</f>
        <v/>
      </c>
    </row>
    <row r="19" customFormat="false" ht="18" hidden="false" customHeight="true" outlineLevel="0" collapsed="false">
      <c r="A19" s="61" t="str">
        <f aca="false">IF($H19="","",INDEX('Investment Log'!$B:$B,$H19))</f>
        <v/>
      </c>
      <c r="B19" s="51" t="str">
        <f aca="false">IF($H19="","",T(INDEX('Investment Log'!$D:$D,$H19)))</f>
        <v/>
      </c>
      <c r="C19" s="62" t="str">
        <f aca="false">IF($H19="","",INDEX('Investment Log'!$E:$E,$H19))</f>
        <v/>
      </c>
      <c r="D19" s="20" t="str">
        <f aca="false">IF($H19="","",T(INDEX('Investment Log'!$G:$G,$H19)))</f>
        <v/>
      </c>
      <c r="E19" s="20" t="str">
        <f aca="false">IF($H19="","",T(INDEX('Investment Log'!$H:$H,$H19)))</f>
        <v/>
      </c>
      <c r="F19" s="25" t="str">
        <f aca="false">IF($H19="","",SUM($C$8:$C19))</f>
        <v/>
      </c>
      <c r="H19" s="0" t="str">
        <f aca="false">IFERROR(MATCH("IPO|"&amp;12,'Investment Log'!$M$8:$M$500,0)+7,"")</f>
        <v/>
      </c>
    </row>
    <row r="20" customFormat="false" ht="18" hidden="false" customHeight="true" outlineLevel="0" collapsed="false">
      <c r="A20" s="56" t="str">
        <f aca="false">IF($H20="","",INDEX('Investment Log'!$B:$B,$H20))</f>
        <v/>
      </c>
      <c r="B20" s="57" t="str">
        <f aca="false">IF($H20="","",T(INDEX('Investment Log'!$D:$D,$H20)))</f>
        <v/>
      </c>
      <c r="C20" s="58" t="str">
        <f aca="false">IF($H20="","",INDEX('Investment Log'!$E:$E,$H20))</f>
        <v/>
      </c>
      <c r="D20" s="10" t="str">
        <f aca="false">IF($H20="","",T(INDEX('Investment Log'!$G:$G,$H20)))</f>
        <v/>
      </c>
      <c r="E20" s="10" t="str">
        <f aca="false">IF($H20="","",T(INDEX('Investment Log'!$H:$H,$H20)))</f>
        <v/>
      </c>
      <c r="F20" s="15" t="str">
        <f aca="false">IF($H20="","",SUM($C$8:$C20))</f>
        <v/>
      </c>
      <c r="H20" s="0" t="str">
        <f aca="false">IFERROR(MATCH("IPO|"&amp;13,'Investment Log'!$M$8:$M$500,0)+7,"")</f>
        <v/>
      </c>
    </row>
    <row r="21" customFormat="false" ht="18" hidden="false" customHeight="true" outlineLevel="0" collapsed="false">
      <c r="A21" s="61" t="str">
        <f aca="false">IF($H21="","",INDEX('Investment Log'!$B:$B,$H21))</f>
        <v/>
      </c>
      <c r="B21" s="51" t="str">
        <f aca="false">IF($H21="","",T(INDEX('Investment Log'!$D:$D,$H21)))</f>
        <v/>
      </c>
      <c r="C21" s="62" t="str">
        <f aca="false">IF($H21="","",INDEX('Investment Log'!$E:$E,$H21))</f>
        <v/>
      </c>
      <c r="D21" s="20" t="str">
        <f aca="false">IF($H21="","",T(INDEX('Investment Log'!$G:$G,$H21)))</f>
        <v/>
      </c>
      <c r="E21" s="20" t="str">
        <f aca="false">IF($H21="","",T(INDEX('Investment Log'!$H:$H,$H21)))</f>
        <v/>
      </c>
      <c r="F21" s="25" t="str">
        <f aca="false">IF($H21="","",SUM($C$8:$C21))</f>
        <v/>
      </c>
      <c r="H21" s="0" t="str">
        <f aca="false">IFERROR(MATCH("IPO|"&amp;14,'Investment Log'!$M$8:$M$500,0)+7,"")</f>
        <v/>
      </c>
    </row>
    <row r="22" customFormat="false" ht="18" hidden="false" customHeight="true" outlineLevel="0" collapsed="false">
      <c r="A22" s="56" t="str">
        <f aca="false">IF($H22="","",INDEX('Investment Log'!$B:$B,$H22))</f>
        <v/>
      </c>
      <c r="B22" s="57" t="str">
        <f aca="false">IF($H22="","",T(INDEX('Investment Log'!$D:$D,$H22)))</f>
        <v/>
      </c>
      <c r="C22" s="58" t="str">
        <f aca="false">IF($H22="","",INDEX('Investment Log'!$E:$E,$H22))</f>
        <v/>
      </c>
      <c r="D22" s="10" t="str">
        <f aca="false">IF($H22="","",T(INDEX('Investment Log'!$G:$G,$H22)))</f>
        <v/>
      </c>
      <c r="E22" s="10" t="str">
        <f aca="false">IF($H22="","",T(INDEX('Investment Log'!$H:$H,$H22)))</f>
        <v/>
      </c>
      <c r="F22" s="15" t="str">
        <f aca="false">IF($H22="","",SUM($C$8:$C22))</f>
        <v/>
      </c>
      <c r="H22" s="0" t="str">
        <f aca="false">IFERROR(MATCH("IPO|"&amp;15,'Investment Log'!$M$8:$M$500,0)+7,"")</f>
        <v/>
      </c>
    </row>
    <row r="23" customFormat="false" ht="18" hidden="false" customHeight="true" outlineLevel="0" collapsed="false">
      <c r="A23" s="61" t="str">
        <f aca="false">IF($H23="","",INDEX('Investment Log'!$B:$B,$H23))</f>
        <v/>
      </c>
      <c r="B23" s="51" t="str">
        <f aca="false">IF($H23="","",T(INDEX('Investment Log'!$D:$D,$H23)))</f>
        <v/>
      </c>
      <c r="C23" s="62" t="str">
        <f aca="false">IF($H23="","",INDEX('Investment Log'!$E:$E,$H23))</f>
        <v/>
      </c>
      <c r="D23" s="20" t="str">
        <f aca="false">IF($H23="","",T(INDEX('Investment Log'!$G:$G,$H23)))</f>
        <v/>
      </c>
      <c r="E23" s="20" t="str">
        <f aca="false">IF($H23="","",T(INDEX('Investment Log'!$H:$H,$H23)))</f>
        <v/>
      </c>
      <c r="F23" s="25" t="str">
        <f aca="false">IF($H23="","",SUM($C$8:$C23))</f>
        <v/>
      </c>
      <c r="H23" s="0" t="str">
        <f aca="false">IFERROR(MATCH("IPO|"&amp;16,'Investment Log'!$M$8:$M$500,0)+7,"")</f>
        <v/>
      </c>
    </row>
    <row r="24" customFormat="false" ht="18" hidden="false" customHeight="true" outlineLevel="0" collapsed="false">
      <c r="A24" s="56" t="str">
        <f aca="false">IF($H24="","",INDEX('Investment Log'!$B:$B,$H24))</f>
        <v/>
      </c>
      <c r="B24" s="57" t="str">
        <f aca="false">IF($H24="","",T(INDEX('Investment Log'!$D:$D,$H24)))</f>
        <v/>
      </c>
      <c r="C24" s="58" t="str">
        <f aca="false">IF($H24="","",INDEX('Investment Log'!$E:$E,$H24))</f>
        <v/>
      </c>
      <c r="D24" s="10" t="str">
        <f aca="false">IF($H24="","",T(INDEX('Investment Log'!$G:$G,$H24)))</f>
        <v/>
      </c>
      <c r="E24" s="10" t="str">
        <f aca="false">IF($H24="","",T(INDEX('Investment Log'!$H:$H,$H24)))</f>
        <v/>
      </c>
      <c r="F24" s="15" t="str">
        <f aca="false">IF($H24="","",SUM($C$8:$C24))</f>
        <v/>
      </c>
      <c r="H24" s="0" t="str">
        <f aca="false">IFERROR(MATCH("IPO|"&amp;17,'Investment Log'!$M$8:$M$500,0)+7,"")</f>
        <v/>
      </c>
    </row>
    <row r="25" customFormat="false" ht="18" hidden="false" customHeight="true" outlineLevel="0" collapsed="false">
      <c r="A25" s="61" t="str">
        <f aca="false">IF($H25="","",INDEX('Investment Log'!$B:$B,$H25))</f>
        <v/>
      </c>
      <c r="B25" s="51" t="str">
        <f aca="false">IF($H25="","",T(INDEX('Investment Log'!$D:$D,$H25)))</f>
        <v/>
      </c>
      <c r="C25" s="62" t="str">
        <f aca="false">IF($H25="","",INDEX('Investment Log'!$E:$E,$H25))</f>
        <v/>
      </c>
      <c r="D25" s="20" t="str">
        <f aca="false">IF($H25="","",T(INDEX('Investment Log'!$G:$G,$H25)))</f>
        <v/>
      </c>
      <c r="E25" s="20" t="str">
        <f aca="false">IF($H25="","",T(INDEX('Investment Log'!$H:$H,$H25)))</f>
        <v/>
      </c>
      <c r="F25" s="25" t="str">
        <f aca="false">IF($H25="","",SUM($C$8:$C25))</f>
        <v/>
      </c>
      <c r="H25" s="0" t="str">
        <f aca="false">IFERROR(MATCH("IPO|"&amp;18,'Investment Log'!$M$8:$M$500,0)+7,"")</f>
        <v/>
      </c>
    </row>
    <row r="26" customFormat="false" ht="18" hidden="false" customHeight="true" outlineLevel="0" collapsed="false">
      <c r="A26" s="56" t="str">
        <f aca="false">IF($H26="","",INDEX('Investment Log'!$B:$B,$H26))</f>
        <v/>
      </c>
      <c r="B26" s="57" t="str">
        <f aca="false">IF($H26="","",T(INDEX('Investment Log'!$D:$D,$H26)))</f>
        <v/>
      </c>
      <c r="C26" s="58" t="str">
        <f aca="false">IF($H26="","",INDEX('Investment Log'!$E:$E,$H26))</f>
        <v/>
      </c>
      <c r="D26" s="10" t="str">
        <f aca="false">IF($H26="","",T(INDEX('Investment Log'!$G:$G,$H26)))</f>
        <v/>
      </c>
      <c r="E26" s="10" t="str">
        <f aca="false">IF($H26="","",T(INDEX('Investment Log'!$H:$H,$H26)))</f>
        <v/>
      </c>
      <c r="F26" s="15" t="str">
        <f aca="false">IF($H26="","",SUM($C$8:$C26))</f>
        <v/>
      </c>
      <c r="H26" s="0" t="str">
        <f aca="false">IFERROR(MATCH("IPO|"&amp;19,'Investment Log'!$M$8:$M$500,0)+7,"")</f>
        <v/>
      </c>
    </row>
    <row r="27" customFormat="false" ht="18" hidden="false" customHeight="true" outlineLevel="0" collapsed="false">
      <c r="A27" s="61" t="str">
        <f aca="false">IF($H27="","",INDEX('Investment Log'!$B:$B,$H27))</f>
        <v/>
      </c>
      <c r="B27" s="51" t="str">
        <f aca="false">IF($H27="","",T(INDEX('Investment Log'!$D:$D,$H27)))</f>
        <v/>
      </c>
      <c r="C27" s="62" t="str">
        <f aca="false">IF($H27="","",INDEX('Investment Log'!$E:$E,$H27))</f>
        <v/>
      </c>
      <c r="D27" s="20" t="str">
        <f aca="false">IF($H27="","",T(INDEX('Investment Log'!$G:$G,$H27)))</f>
        <v/>
      </c>
      <c r="E27" s="20" t="str">
        <f aca="false">IF($H27="","",T(INDEX('Investment Log'!$H:$H,$H27)))</f>
        <v/>
      </c>
      <c r="F27" s="25" t="str">
        <f aca="false">IF($H27="","",SUM($C$8:$C27))</f>
        <v/>
      </c>
      <c r="H27" s="0" t="str">
        <f aca="false">IFERROR(MATCH("IPO|"&amp;20,'Investment Log'!$M$8:$M$500,0)+7,"")</f>
        <v/>
      </c>
    </row>
    <row r="28" customFormat="false" ht="18" hidden="false" customHeight="true" outlineLevel="0" collapsed="false">
      <c r="A28" s="56" t="str">
        <f aca="false">IF($H28="","",INDEX('Investment Log'!$B:$B,$H28))</f>
        <v/>
      </c>
      <c r="B28" s="57" t="str">
        <f aca="false">IF($H28="","",T(INDEX('Investment Log'!$D:$D,$H28)))</f>
        <v/>
      </c>
      <c r="C28" s="58" t="str">
        <f aca="false">IF($H28="","",INDEX('Investment Log'!$E:$E,$H28))</f>
        <v/>
      </c>
      <c r="D28" s="10" t="str">
        <f aca="false">IF($H28="","",T(INDEX('Investment Log'!$G:$G,$H28)))</f>
        <v/>
      </c>
      <c r="E28" s="10" t="str">
        <f aca="false">IF($H28="","",T(INDEX('Investment Log'!$H:$H,$H28)))</f>
        <v/>
      </c>
      <c r="F28" s="15" t="str">
        <f aca="false">IF($H28="","",SUM($C$8:$C28))</f>
        <v/>
      </c>
      <c r="H28" s="0" t="str">
        <f aca="false">IFERROR(MATCH("IPO|"&amp;21,'Investment Log'!$M$8:$M$500,0)+7,"")</f>
        <v/>
      </c>
    </row>
    <row r="29" customFormat="false" ht="18" hidden="false" customHeight="true" outlineLevel="0" collapsed="false">
      <c r="A29" s="61" t="str">
        <f aca="false">IF($H29="","",INDEX('Investment Log'!$B:$B,$H29))</f>
        <v/>
      </c>
      <c r="B29" s="51" t="str">
        <f aca="false">IF($H29="","",T(INDEX('Investment Log'!$D:$D,$H29)))</f>
        <v/>
      </c>
      <c r="C29" s="62" t="str">
        <f aca="false">IF($H29="","",INDEX('Investment Log'!$E:$E,$H29))</f>
        <v/>
      </c>
      <c r="D29" s="20" t="str">
        <f aca="false">IF($H29="","",T(INDEX('Investment Log'!$G:$G,$H29)))</f>
        <v/>
      </c>
      <c r="E29" s="20" t="str">
        <f aca="false">IF($H29="","",T(INDEX('Investment Log'!$H:$H,$H29)))</f>
        <v/>
      </c>
      <c r="F29" s="25" t="str">
        <f aca="false">IF($H29="","",SUM($C$8:$C29))</f>
        <v/>
      </c>
      <c r="H29" s="0" t="str">
        <f aca="false">IFERROR(MATCH("IPO|"&amp;22,'Investment Log'!$M$8:$M$500,0)+7,"")</f>
        <v/>
      </c>
    </row>
    <row r="30" customFormat="false" ht="18" hidden="false" customHeight="true" outlineLevel="0" collapsed="false">
      <c r="A30" s="56" t="str">
        <f aca="false">IF($H30="","",INDEX('Investment Log'!$B:$B,$H30))</f>
        <v/>
      </c>
      <c r="B30" s="57" t="str">
        <f aca="false">IF($H30="","",T(INDEX('Investment Log'!$D:$D,$H30)))</f>
        <v/>
      </c>
      <c r="C30" s="58" t="str">
        <f aca="false">IF($H30="","",INDEX('Investment Log'!$E:$E,$H30))</f>
        <v/>
      </c>
      <c r="D30" s="10" t="str">
        <f aca="false">IF($H30="","",T(INDEX('Investment Log'!$G:$G,$H30)))</f>
        <v/>
      </c>
      <c r="E30" s="10" t="str">
        <f aca="false">IF($H30="","",T(INDEX('Investment Log'!$H:$H,$H30)))</f>
        <v/>
      </c>
      <c r="F30" s="15" t="str">
        <f aca="false">IF($H30="","",SUM($C$8:$C30))</f>
        <v/>
      </c>
      <c r="H30" s="0" t="str">
        <f aca="false">IFERROR(MATCH("IPO|"&amp;23,'Investment Log'!$M$8:$M$500,0)+7,"")</f>
        <v/>
      </c>
    </row>
    <row r="31" customFormat="false" ht="18" hidden="false" customHeight="true" outlineLevel="0" collapsed="false">
      <c r="A31" s="61" t="str">
        <f aca="false">IF($H31="","",INDEX('Investment Log'!$B:$B,$H31))</f>
        <v/>
      </c>
      <c r="B31" s="51" t="str">
        <f aca="false">IF($H31="","",T(INDEX('Investment Log'!$D:$D,$H31)))</f>
        <v/>
      </c>
      <c r="C31" s="62" t="str">
        <f aca="false">IF($H31="","",INDEX('Investment Log'!$E:$E,$H31))</f>
        <v/>
      </c>
      <c r="D31" s="20" t="str">
        <f aca="false">IF($H31="","",T(INDEX('Investment Log'!$G:$G,$H31)))</f>
        <v/>
      </c>
      <c r="E31" s="20" t="str">
        <f aca="false">IF($H31="","",T(INDEX('Investment Log'!$H:$H,$H31)))</f>
        <v/>
      </c>
      <c r="F31" s="25" t="str">
        <f aca="false">IF($H31="","",SUM($C$8:$C31))</f>
        <v/>
      </c>
      <c r="H31" s="0" t="str">
        <f aca="false">IFERROR(MATCH("IPO|"&amp;24,'Investment Log'!$M$8:$M$500,0)+7,"")</f>
        <v/>
      </c>
    </row>
    <row r="32" customFormat="false" ht="18" hidden="false" customHeight="true" outlineLevel="0" collapsed="false">
      <c r="A32" s="56" t="str">
        <f aca="false">IF($H32="","",INDEX('Investment Log'!$B:$B,$H32))</f>
        <v/>
      </c>
      <c r="B32" s="57" t="str">
        <f aca="false">IF($H32="","",T(INDEX('Investment Log'!$D:$D,$H32)))</f>
        <v/>
      </c>
      <c r="C32" s="58" t="str">
        <f aca="false">IF($H32="","",INDEX('Investment Log'!$E:$E,$H32))</f>
        <v/>
      </c>
      <c r="D32" s="10" t="str">
        <f aca="false">IF($H32="","",T(INDEX('Investment Log'!$G:$G,$H32)))</f>
        <v/>
      </c>
      <c r="E32" s="10" t="str">
        <f aca="false">IF($H32="","",T(INDEX('Investment Log'!$H:$H,$H32)))</f>
        <v/>
      </c>
      <c r="F32" s="15" t="str">
        <f aca="false">IF($H32="","",SUM($C$8:$C32))</f>
        <v/>
      </c>
      <c r="H32" s="0" t="str">
        <f aca="false">IFERROR(MATCH("IPO|"&amp;25,'Investment Log'!$M$8:$M$500,0)+7,"")</f>
        <v/>
      </c>
    </row>
    <row r="33" customFormat="false" ht="18" hidden="false" customHeight="true" outlineLevel="0" collapsed="false">
      <c r="A33" s="61" t="str">
        <f aca="false">IF($H33="","",INDEX('Investment Log'!$B:$B,$H33))</f>
        <v/>
      </c>
      <c r="B33" s="51" t="str">
        <f aca="false">IF($H33="","",T(INDEX('Investment Log'!$D:$D,$H33)))</f>
        <v/>
      </c>
      <c r="C33" s="62" t="str">
        <f aca="false">IF($H33="","",INDEX('Investment Log'!$E:$E,$H33))</f>
        <v/>
      </c>
      <c r="D33" s="20" t="str">
        <f aca="false">IF($H33="","",T(INDEX('Investment Log'!$G:$G,$H33)))</f>
        <v/>
      </c>
      <c r="E33" s="20" t="str">
        <f aca="false">IF($H33="","",T(INDEX('Investment Log'!$H:$H,$H33)))</f>
        <v/>
      </c>
      <c r="F33" s="25" t="str">
        <f aca="false">IF($H33="","",SUM($C$8:$C33))</f>
        <v/>
      </c>
      <c r="H33" s="0" t="str">
        <f aca="false">IFERROR(MATCH("IPO|"&amp;26,'Investment Log'!$M$8:$M$500,0)+7,"")</f>
        <v/>
      </c>
    </row>
    <row r="34" customFormat="false" ht="18" hidden="false" customHeight="true" outlineLevel="0" collapsed="false">
      <c r="A34" s="56" t="str">
        <f aca="false">IF($H34="","",INDEX('Investment Log'!$B:$B,$H34))</f>
        <v/>
      </c>
      <c r="B34" s="57" t="str">
        <f aca="false">IF($H34="","",T(INDEX('Investment Log'!$D:$D,$H34)))</f>
        <v/>
      </c>
      <c r="C34" s="58" t="str">
        <f aca="false">IF($H34="","",INDEX('Investment Log'!$E:$E,$H34))</f>
        <v/>
      </c>
      <c r="D34" s="10" t="str">
        <f aca="false">IF($H34="","",T(INDEX('Investment Log'!$G:$G,$H34)))</f>
        <v/>
      </c>
      <c r="E34" s="10" t="str">
        <f aca="false">IF($H34="","",T(INDEX('Investment Log'!$H:$H,$H34)))</f>
        <v/>
      </c>
      <c r="F34" s="15" t="str">
        <f aca="false">IF($H34="","",SUM($C$8:$C34))</f>
        <v/>
      </c>
      <c r="H34" s="0" t="str">
        <f aca="false">IFERROR(MATCH("IPO|"&amp;27,'Investment Log'!$M$8:$M$500,0)+7,"")</f>
        <v/>
      </c>
    </row>
    <row r="35" customFormat="false" ht="18" hidden="false" customHeight="true" outlineLevel="0" collapsed="false">
      <c r="A35" s="61" t="str">
        <f aca="false">IF($H35="","",INDEX('Investment Log'!$B:$B,$H35))</f>
        <v/>
      </c>
      <c r="B35" s="51" t="str">
        <f aca="false">IF($H35="","",T(INDEX('Investment Log'!$D:$D,$H35)))</f>
        <v/>
      </c>
      <c r="C35" s="62" t="str">
        <f aca="false">IF($H35="","",INDEX('Investment Log'!$E:$E,$H35))</f>
        <v/>
      </c>
      <c r="D35" s="20" t="str">
        <f aca="false">IF($H35="","",T(INDEX('Investment Log'!$G:$G,$H35)))</f>
        <v/>
      </c>
      <c r="E35" s="20" t="str">
        <f aca="false">IF($H35="","",T(INDEX('Investment Log'!$H:$H,$H35)))</f>
        <v/>
      </c>
      <c r="F35" s="25" t="str">
        <f aca="false">IF($H35="","",SUM($C$8:$C35))</f>
        <v/>
      </c>
      <c r="H35" s="0" t="str">
        <f aca="false">IFERROR(MATCH("IPO|"&amp;28,'Investment Log'!$M$8:$M$500,0)+7,"")</f>
        <v/>
      </c>
    </row>
    <row r="36" customFormat="false" ht="18" hidden="false" customHeight="true" outlineLevel="0" collapsed="false">
      <c r="A36" s="56" t="str">
        <f aca="false">IF($H36="","",INDEX('Investment Log'!$B:$B,$H36))</f>
        <v/>
      </c>
      <c r="B36" s="57" t="str">
        <f aca="false">IF($H36="","",T(INDEX('Investment Log'!$D:$D,$H36)))</f>
        <v/>
      </c>
      <c r="C36" s="58" t="str">
        <f aca="false">IF($H36="","",INDEX('Investment Log'!$E:$E,$H36))</f>
        <v/>
      </c>
      <c r="D36" s="10" t="str">
        <f aca="false">IF($H36="","",T(INDEX('Investment Log'!$G:$G,$H36)))</f>
        <v/>
      </c>
      <c r="E36" s="10" t="str">
        <f aca="false">IF($H36="","",T(INDEX('Investment Log'!$H:$H,$H36)))</f>
        <v/>
      </c>
      <c r="F36" s="15" t="str">
        <f aca="false">IF($H36="","",SUM($C$8:$C36))</f>
        <v/>
      </c>
      <c r="H36" s="0" t="str">
        <f aca="false">IFERROR(MATCH("IPO|"&amp;29,'Investment Log'!$M$8:$M$500,0)+7,"")</f>
        <v/>
      </c>
    </row>
    <row r="37" customFormat="false" ht="18" hidden="false" customHeight="true" outlineLevel="0" collapsed="false">
      <c r="A37" s="61" t="str">
        <f aca="false">IF($H37="","",INDEX('Investment Log'!$B:$B,$H37))</f>
        <v/>
      </c>
      <c r="B37" s="51" t="str">
        <f aca="false">IF($H37="","",T(INDEX('Investment Log'!$D:$D,$H37)))</f>
        <v/>
      </c>
      <c r="C37" s="62" t="str">
        <f aca="false">IF($H37="","",INDEX('Investment Log'!$E:$E,$H37))</f>
        <v/>
      </c>
      <c r="D37" s="20" t="str">
        <f aca="false">IF($H37="","",T(INDEX('Investment Log'!$G:$G,$H37)))</f>
        <v/>
      </c>
      <c r="E37" s="20" t="str">
        <f aca="false">IF($H37="","",T(INDEX('Investment Log'!$H:$H,$H37)))</f>
        <v/>
      </c>
      <c r="F37" s="25" t="str">
        <f aca="false">IF($H37="","",SUM($C$8:$C37))</f>
        <v/>
      </c>
      <c r="H37" s="0" t="str">
        <f aca="false">IFERROR(MATCH("IPO|"&amp;30,'Investment Log'!$M$8:$M$500,0)+7,"")</f>
        <v/>
      </c>
    </row>
    <row r="38" customFormat="false" ht="18" hidden="false" customHeight="true" outlineLevel="0" collapsed="false">
      <c r="A38" s="56" t="str">
        <f aca="false">IF($H38="","",INDEX('Investment Log'!$B:$B,$H38))</f>
        <v/>
      </c>
      <c r="B38" s="57" t="str">
        <f aca="false">IF($H38="","",T(INDEX('Investment Log'!$D:$D,$H38)))</f>
        <v/>
      </c>
      <c r="C38" s="58" t="str">
        <f aca="false">IF($H38="","",INDEX('Investment Log'!$E:$E,$H38))</f>
        <v/>
      </c>
      <c r="D38" s="10" t="str">
        <f aca="false">IF($H38="","",T(INDEX('Investment Log'!$G:$G,$H38)))</f>
        <v/>
      </c>
      <c r="E38" s="10" t="str">
        <f aca="false">IF($H38="","",T(INDEX('Investment Log'!$H:$H,$H38)))</f>
        <v/>
      </c>
      <c r="F38" s="15" t="str">
        <f aca="false">IF($H38="","",SUM($C$8:$C38))</f>
        <v/>
      </c>
      <c r="H38" s="0" t="str">
        <f aca="false">IFERROR(MATCH("IPO|"&amp;31,'Investment Log'!$M$8:$M$500,0)+7,"")</f>
        <v/>
      </c>
    </row>
    <row r="39" customFormat="false" ht="18" hidden="false" customHeight="true" outlineLevel="0" collapsed="false">
      <c r="A39" s="61" t="str">
        <f aca="false">IF($H39="","",INDEX('Investment Log'!$B:$B,$H39))</f>
        <v/>
      </c>
      <c r="B39" s="51" t="str">
        <f aca="false">IF($H39="","",T(INDEX('Investment Log'!$D:$D,$H39)))</f>
        <v/>
      </c>
      <c r="C39" s="62" t="str">
        <f aca="false">IF($H39="","",INDEX('Investment Log'!$E:$E,$H39))</f>
        <v/>
      </c>
      <c r="D39" s="20" t="str">
        <f aca="false">IF($H39="","",T(INDEX('Investment Log'!$G:$G,$H39)))</f>
        <v/>
      </c>
      <c r="E39" s="20" t="str">
        <f aca="false">IF($H39="","",T(INDEX('Investment Log'!$H:$H,$H39)))</f>
        <v/>
      </c>
      <c r="F39" s="25" t="str">
        <f aca="false">IF($H39="","",SUM($C$8:$C39))</f>
        <v/>
      </c>
      <c r="H39" s="0" t="str">
        <f aca="false">IFERROR(MATCH("IPO|"&amp;32,'Investment Log'!$M$8:$M$500,0)+7,"")</f>
        <v/>
      </c>
    </row>
    <row r="40" customFormat="false" ht="18" hidden="false" customHeight="true" outlineLevel="0" collapsed="false">
      <c r="A40" s="56" t="str">
        <f aca="false">IF($H40="","",INDEX('Investment Log'!$B:$B,$H40))</f>
        <v/>
      </c>
      <c r="B40" s="57" t="str">
        <f aca="false">IF($H40="","",T(INDEX('Investment Log'!$D:$D,$H40)))</f>
        <v/>
      </c>
      <c r="C40" s="58" t="str">
        <f aca="false">IF($H40="","",INDEX('Investment Log'!$E:$E,$H40))</f>
        <v/>
      </c>
      <c r="D40" s="10" t="str">
        <f aca="false">IF($H40="","",T(INDEX('Investment Log'!$G:$G,$H40)))</f>
        <v/>
      </c>
      <c r="E40" s="10" t="str">
        <f aca="false">IF($H40="","",T(INDEX('Investment Log'!$H:$H,$H40)))</f>
        <v/>
      </c>
      <c r="F40" s="15" t="str">
        <f aca="false">IF($H40="","",SUM($C$8:$C40))</f>
        <v/>
      </c>
      <c r="H40" s="0" t="str">
        <f aca="false">IFERROR(MATCH("IPO|"&amp;33,'Investment Log'!$M$8:$M$500,0)+7,"")</f>
        <v/>
      </c>
    </row>
    <row r="41" customFormat="false" ht="18" hidden="false" customHeight="true" outlineLevel="0" collapsed="false">
      <c r="A41" s="61" t="str">
        <f aca="false">IF($H41="","",INDEX('Investment Log'!$B:$B,$H41))</f>
        <v/>
      </c>
      <c r="B41" s="51" t="str">
        <f aca="false">IF($H41="","",T(INDEX('Investment Log'!$D:$D,$H41)))</f>
        <v/>
      </c>
      <c r="C41" s="62" t="str">
        <f aca="false">IF($H41="","",INDEX('Investment Log'!$E:$E,$H41))</f>
        <v/>
      </c>
      <c r="D41" s="20" t="str">
        <f aca="false">IF($H41="","",T(INDEX('Investment Log'!$G:$G,$H41)))</f>
        <v/>
      </c>
      <c r="E41" s="20" t="str">
        <f aca="false">IF($H41="","",T(INDEX('Investment Log'!$H:$H,$H41)))</f>
        <v/>
      </c>
      <c r="F41" s="25" t="str">
        <f aca="false">IF($H41="","",SUM($C$8:$C41))</f>
        <v/>
      </c>
      <c r="H41" s="0" t="str">
        <f aca="false">IFERROR(MATCH("IPO|"&amp;34,'Investment Log'!$M$8:$M$500,0)+7,"")</f>
        <v/>
      </c>
    </row>
    <row r="42" customFormat="false" ht="18" hidden="false" customHeight="true" outlineLevel="0" collapsed="false">
      <c r="A42" s="56" t="str">
        <f aca="false">IF($H42="","",INDEX('Investment Log'!$B:$B,$H42))</f>
        <v/>
      </c>
      <c r="B42" s="57" t="str">
        <f aca="false">IF($H42="","",T(INDEX('Investment Log'!$D:$D,$H42)))</f>
        <v/>
      </c>
      <c r="C42" s="58" t="str">
        <f aca="false">IF($H42="","",INDEX('Investment Log'!$E:$E,$H42))</f>
        <v/>
      </c>
      <c r="D42" s="10" t="str">
        <f aca="false">IF($H42="","",T(INDEX('Investment Log'!$G:$G,$H42)))</f>
        <v/>
      </c>
      <c r="E42" s="10" t="str">
        <f aca="false">IF($H42="","",T(INDEX('Investment Log'!$H:$H,$H42)))</f>
        <v/>
      </c>
      <c r="F42" s="15" t="str">
        <f aca="false">IF($H42="","",SUM($C$8:$C42))</f>
        <v/>
      </c>
      <c r="H42" s="0" t="str">
        <f aca="false">IFERROR(MATCH("IPO|"&amp;35,'Investment Log'!$M$8:$M$500,0)+7,"")</f>
        <v/>
      </c>
    </row>
    <row r="43" customFormat="false" ht="18" hidden="false" customHeight="true" outlineLevel="0" collapsed="false">
      <c r="A43" s="61" t="str">
        <f aca="false">IF($H43="","",INDEX('Investment Log'!$B:$B,$H43))</f>
        <v/>
      </c>
      <c r="B43" s="51" t="str">
        <f aca="false">IF($H43="","",T(INDEX('Investment Log'!$D:$D,$H43)))</f>
        <v/>
      </c>
      <c r="C43" s="62" t="str">
        <f aca="false">IF($H43="","",INDEX('Investment Log'!$E:$E,$H43))</f>
        <v/>
      </c>
      <c r="D43" s="20" t="str">
        <f aca="false">IF($H43="","",T(INDEX('Investment Log'!$G:$G,$H43)))</f>
        <v/>
      </c>
      <c r="E43" s="20" t="str">
        <f aca="false">IF($H43="","",T(INDEX('Investment Log'!$H:$H,$H43)))</f>
        <v/>
      </c>
      <c r="F43" s="25" t="str">
        <f aca="false">IF($H43="","",SUM($C$8:$C43))</f>
        <v/>
      </c>
      <c r="H43" s="0" t="str">
        <f aca="false">IFERROR(MATCH("IPO|"&amp;36,'Investment Log'!$M$8:$M$500,0)+7,"")</f>
        <v/>
      </c>
    </row>
    <row r="44" customFormat="false" ht="18" hidden="false" customHeight="true" outlineLevel="0" collapsed="false">
      <c r="A44" s="56" t="str">
        <f aca="false">IF($H44="","",INDEX('Investment Log'!$B:$B,$H44))</f>
        <v/>
      </c>
      <c r="B44" s="57" t="str">
        <f aca="false">IF($H44="","",T(INDEX('Investment Log'!$D:$D,$H44)))</f>
        <v/>
      </c>
      <c r="C44" s="58" t="str">
        <f aca="false">IF($H44="","",INDEX('Investment Log'!$E:$E,$H44))</f>
        <v/>
      </c>
      <c r="D44" s="10" t="str">
        <f aca="false">IF($H44="","",T(INDEX('Investment Log'!$G:$G,$H44)))</f>
        <v/>
      </c>
      <c r="E44" s="10" t="str">
        <f aca="false">IF($H44="","",T(INDEX('Investment Log'!$H:$H,$H44)))</f>
        <v/>
      </c>
      <c r="F44" s="15" t="str">
        <f aca="false">IF($H44="","",SUM($C$8:$C44))</f>
        <v/>
      </c>
      <c r="H44" s="0" t="str">
        <f aca="false">IFERROR(MATCH("IPO|"&amp;37,'Investment Log'!$M$8:$M$500,0)+7,"")</f>
        <v/>
      </c>
    </row>
    <row r="45" customFormat="false" ht="18" hidden="false" customHeight="true" outlineLevel="0" collapsed="false">
      <c r="A45" s="61" t="str">
        <f aca="false">IF($H45="","",INDEX('Investment Log'!$B:$B,$H45))</f>
        <v/>
      </c>
      <c r="B45" s="51" t="str">
        <f aca="false">IF($H45="","",T(INDEX('Investment Log'!$D:$D,$H45)))</f>
        <v/>
      </c>
      <c r="C45" s="62" t="str">
        <f aca="false">IF($H45="","",INDEX('Investment Log'!$E:$E,$H45))</f>
        <v/>
      </c>
      <c r="D45" s="20" t="str">
        <f aca="false">IF($H45="","",T(INDEX('Investment Log'!$G:$G,$H45)))</f>
        <v/>
      </c>
      <c r="E45" s="20" t="str">
        <f aca="false">IF($H45="","",T(INDEX('Investment Log'!$H:$H,$H45)))</f>
        <v/>
      </c>
      <c r="F45" s="25" t="str">
        <f aca="false">IF($H45="","",SUM($C$8:$C45))</f>
        <v/>
      </c>
      <c r="H45" s="0" t="str">
        <f aca="false">IFERROR(MATCH("IPO|"&amp;38,'Investment Log'!$M$8:$M$500,0)+7,"")</f>
        <v/>
      </c>
    </row>
    <row r="46" customFormat="false" ht="18" hidden="false" customHeight="true" outlineLevel="0" collapsed="false">
      <c r="A46" s="56" t="str">
        <f aca="false">IF($H46="","",INDEX('Investment Log'!$B:$B,$H46))</f>
        <v/>
      </c>
      <c r="B46" s="57" t="str">
        <f aca="false">IF($H46="","",T(INDEX('Investment Log'!$D:$D,$H46)))</f>
        <v/>
      </c>
      <c r="C46" s="58" t="str">
        <f aca="false">IF($H46="","",INDEX('Investment Log'!$E:$E,$H46))</f>
        <v/>
      </c>
      <c r="D46" s="10" t="str">
        <f aca="false">IF($H46="","",T(INDEX('Investment Log'!$G:$G,$H46)))</f>
        <v/>
      </c>
      <c r="E46" s="10" t="str">
        <f aca="false">IF($H46="","",T(INDEX('Investment Log'!$H:$H,$H46)))</f>
        <v/>
      </c>
      <c r="F46" s="15" t="str">
        <f aca="false">IF($H46="","",SUM($C$8:$C46))</f>
        <v/>
      </c>
      <c r="H46" s="0" t="str">
        <f aca="false">IFERROR(MATCH("IPO|"&amp;39,'Investment Log'!$M$8:$M$500,0)+7,"")</f>
        <v/>
      </c>
    </row>
    <row r="47" customFormat="false" ht="18" hidden="false" customHeight="true" outlineLevel="0" collapsed="false">
      <c r="A47" s="61" t="str">
        <f aca="false">IF($H47="","",INDEX('Investment Log'!$B:$B,$H47))</f>
        <v/>
      </c>
      <c r="B47" s="51" t="str">
        <f aca="false">IF($H47="","",T(INDEX('Investment Log'!$D:$D,$H47)))</f>
        <v/>
      </c>
      <c r="C47" s="62" t="str">
        <f aca="false">IF($H47="","",INDEX('Investment Log'!$E:$E,$H47))</f>
        <v/>
      </c>
      <c r="D47" s="20" t="str">
        <f aca="false">IF($H47="","",T(INDEX('Investment Log'!$G:$G,$H47)))</f>
        <v/>
      </c>
      <c r="E47" s="20" t="str">
        <f aca="false">IF($H47="","",T(INDEX('Investment Log'!$H:$H,$H47)))</f>
        <v/>
      </c>
      <c r="F47" s="25" t="str">
        <f aca="false">IF($H47="","",SUM($C$8:$C47))</f>
        <v/>
      </c>
      <c r="H47" s="0" t="str">
        <f aca="false">IFERROR(MATCH("IPO|"&amp;40,'Investment Log'!$M$8:$M$500,0)+7,"")</f>
        <v/>
      </c>
    </row>
    <row r="48" customFormat="false" ht="18" hidden="false" customHeight="true" outlineLevel="0" collapsed="false">
      <c r="A48" s="56" t="str">
        <f aca="false">IF($H48="","",INDEX('Investment Log'!$B:$B,$H48))</f>
        <v/>
      </c>
      <c r="B48" s="57" t="str">
        <f aca="false">IF($H48="","",T(INDEX('Investment Log'!$D:$D,$H48)))</f>
        <v/>
      </c>
      <c r="C48" s="58" t="str">
        <f aca="false">IF($H48="","",INDEX('Investment Log'!$E:$E,$H48))</f>
        <v/>
      </c>
      <c r="D48" s="10" t="str">
        <f aca="false">IF($H48="","",T(INDEX('Investment Log'!$G:$G,$H48)))</f>
        <v/>
      </c>
      <c r="E48" s="10" t="str">
        <f aca="false">IF($H48="","",T(INDEX('Investment Log'!$H:$H,$H48)))</f>
        <v/>
      </c>
      <c r="F48" s="15" t="str">
        <f aca="false">IF($H48="","",SUM($C$8:$C48))</f>
        <v/>
      </c>
      <c r="H48" s="0" t="str">
        <f aca="false">IFERROR(MATCH("IPO|"&amp;41,'Investment Log'!$M$8:$M$500,0)+7,"")</f>
        <v/>
      </c>
    </row>
    <row r="49" customFormat="false" ht="18" hidden="false" customHeight="true" outlineLevel="0" collapsed="false">
      <c r="A49" s="61" t="str">
        <f aca="false">IF($H49="","",INDEX('Investment Log'!$B:$B,$H49))</f>
        <v/>
      </c>
      <c r="B49" s="51" t="str">
        <f aca="false">IF($H49="","",T(INDEX('Investment Log'!$D:$D,$H49)))</f>
        <v/>
      </c>
      <c r="C49" s="62" t="str">
        <f aca="false">IF($H49="","",INDEX('Investment Log'!$E:$E,$H49))</f>
        <v/>
      </c>
      <c r="D49" s="20" t="str">
        <f aca="false">IF($H49="","",T(INDEX('Investment Log'!$G:$G,$H49)))</f>
        <v/>
      </c>
      <c r="E49" s="20" t="str">
        <f aca="false">IF($H49="","",T(INDEX('Investment Log'!$H:$H,$H49)))</f>
        <v/>
      </c>
      <c r="F49" s="25" t="str">
        <f aca="false">IF($H49="","",SUM($C$8:$C49))</f>
        <v/>
      </c>
      <c r="H49" s="0" t="str">
        <f aca="false">IFERROR(MATCH("IPO|"&amp;42,'Investment Log'!$M$8:$M$500,0)+7,"")</f>
        <v/>
      </c>
    </row>
    <row r="50" customFormat="false" ht="18" hidden="false" customHeight="true" outlineLevel="0" collapsed="false">
      <c r="A50" s="56" t="str">
        <f aca="false">IF($H50="","",INDEX('Investment Log'!$B:$B,$H50))</f>
        <v/>
      </c>
      <c r="B50" s="57" t="str">
        <f aca="false">IF($H50="","",T(INDEX('Investment Log'!$D:$D,$H50)))</f>
        <v/>
      </c>
      <c r="C50" s="58" t="str">
        <f aca="false">IF($H50="","",INDEX('Investment Log'!$E:$E,$H50))</f>
        <v/>
      </c>
      <c r="D50" s="10" t="str">
        <f aca="false">IF($H50="","",T(INDEX('Investment Log'!$G:$G,$H50)))</f>
        <v/>
      </c>
      <c r="E50" s="10" t="str">
        <f aca="false">IF($H50="","",T(INDEX('Investment Log'!$H:$H,$H50)))</f>
        <v/>
      </c>
      <c r="F50" s="15" t="str">
        <f aca="false">IF($H50="","",SUM($C$8:$C50))</f>
        <v/>
      </c>
      <c r="H50" s="0" t="str">
        <f aca="false">IFERROR(MATCH("IPO|"&amp;43,'Investment Log'!$M$8:$M$500,0)+7,"")</f>
        <v/>
      </c>
    </row>
    <row r="51" customFormat="false" ht="18" hidden="false" customHeight="true" outlineLevel="0" collapsed="false">
      <c r="A51" s="61" t="str">
        <f aca="false">IF($H51="","",INDEX('Investment Log'!$B:$B,$H51))</f>
        <v/>
      </c>
      <c r="B51" s="51" t="str">
        <f aca="false">IF($H51="","",T(INDEX('Investment Log'!$D:$D,$H51)))</f>
        <v/>
      </c>
      <c r="C51" s="62" t="str">
        <f aca="false">IF($H51="","",INDEX('Investment Log'!$E:$E,$H51))</f>
        <v/>
      </c>
      <c r="D51" s="20" t="str">
        <f aca="false">IF($H51="","",T(INDEX('Investment Log'!$G:$G,$H51)))</f>
        <v/>
      </c>
      <c r="E51" s="20" t="str">
        <f aca="false">IF($H51="","",T(INDEX('Investment Log'!$H:$H,$H51)))</f>
        <v/>
      </c>
      <c r="F51" s="25" t="str">
        <f aca="false">IF($H51="","",SUM($C$8:$C51))</f>
        <v/>
      </c>
      <c r="H51" s="0" t="str">
        <f aca="false">IFERROR(MATCH("IPO|"&amp;44,'Investment Log'!$M$8:$M$500,0)+7,"")</f>
        <v/>
      </c>
    </row>
    <row r="52" customFormat="false" ht="18" hidden="false" customHeight="true" outlineLevel="0" collapsed="false">
      <c r="A52" s="56" t="str">
        <f aca="false">IF($H52="","",INDEX('Investment Log'!$B:$B,$H52))</f>
        <v/>
      </c>
      <c r="B52" s="57" t="str">
        <f aca="false">IF($H52="","",T(INDEX('Investment Log'!$D:$D,$H52)))</f>
        <v/>
      </c>
      <c r="C52" s="58" t="str">
        <f aca="false">IF($H52="","",INDEX('Investment Log'!$E:$E,$H52))</f>
        <v/>
      </c>
      <c r="D52" s="10" t="str">
        <f aca="false">IF($H52="","",T(INDEX('Investment Log'!$G:$G,$H52)))</f>
        <v/>
      </c>
      <c r="E52" s="10" t="str">
        <f aca="false">IF($H52="","",T(INDEX('Investment Log'!$H:$H,$H52)))</f>
        <v/>
      </c>
      <c r="F52" s="15" t="str">
        <f aca="false">IF($H52="","",SUM($C$8:$C52))</f>
        <v/>
      </c>
      <c r="H52" s="0" t="str">
        <f aca="false">IFERROR(MATCH("IPO|"&amp;45,'Investment Log'!$M$8:$M$500,0)+7,"")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true" outlineLevel="0" max="8" min="8" style="0" width="13"/>
  </cols>
  <sheetData>
    <row r="1" customFormat="false" ht="27.75" hidden="false" customHeight="true" outlineLevel="0" collapsed="false">
      <c r="A1" s="73" t="s">
        <v>176</v>
      </c>
      <c r="B1" s="73"/>
      <c r="C1" s="73"/>
      <c r="D1" s="73"/>
      <c r="E1" s="73"/>
      <c r="F1" s="73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</row>
    <row r="4" customFormat="false" ht="15.75" hidden="false" customHeight="true" outlineLevel="0" collapsed="false">
      <c r="A4" s="3" t="s">
        <v>2</v>
      </c>
      <c r="B4" s="3" t="s">
        <v>4</v>
      </c>
    </row>
    <row r="5" customFormat="false" ht="24" hidden="false" customHeight="true" outlineLevel="0" collapsed="false">
      <c r="A5" s="74" t="n">
        <f aca="false">SUMIF('Investment Log'!$C$8:$C$500,"Real Estate",'Investment Log'!$E$8:$E$500)</f>
        <v>750000</v>
      </c>
      <c r="B5" s="55" t="n">
        <f aca="false">COUNTIF('Investment Log'!$C$8:$C$500,"Real Estate")</f>
        <v>1</v>
      </c>
    </row>
    <row r="7" customFormat="false" ht="27.75" hidden="false" customHeight="true" outlineLevel="0" collapsed="false">
      <c r="A7" s="7" t="s">
        <v>6</v>
      </c>
      <c r="B7" s="7" t="s">
        <v>8</v>
      </c>
      <c r="C7" s="7" t="s">
        <v>9</v>
      </c>
      <c r="D7" s="7" t="s">
        <v>11</v>
      </c>
      <c r="E7" s="7" t="s">
        <v>12</v>
      </c>
      <c r="F7" s="7" t="s">
        <v>172</v>
      </c>
    </row>
    <row r="8" customFormat="false" ht="18" hidden="false" customHeight="true" outlineLevel="0" collapsed="false">
      <c r="A8" s="56" t="n">
        <f aca="false">IF($H8="","",INDEX('Investment Log'!$B:$B,$H8))</f>
        <v>45992</v>
      </c>
      <c r="B8" s="57" t="str">
        <f aca="false">IF($H8="","",T(INDEX('Investment Log'!$D:$D,$H8)))</f>
        <v>PRIDE</v>
      </c>
      <c r="C8" s="58" t="n">
        <f aca="false">IF($H8="","",INDEX('Investment Log'!$E:$E,$H8))</f>
        <v>750000</v>
      </c>
      <c r="D8" s="10" t="str">
        <f aca="false">IF($H8="","",T(INDEX('Investment Log'!$G:$G,$H8)))</f>
        <v>PRIDE</v>
      </c>
      <c r="E8" s="10" t="str">
        <f aca="false">IF($H8="","",T(INDEX('Investment Log'!$H:$H,$H8)))</f>
        <v>₹7.5L to PRIDE. Confirm nature (property?). Day not specified.</v>
      </c>
      <c r="F8" s="15" t="n">
        <f aca="false">IF($H8="","",SUM($C$8:$C8))</f>
        <v>750000</v>
      </c>
      <c r="H8" s="16" t="n">
        <f aca="false">IFERROR(MATCH("Real Estate|"&amp;1,'Investment Log'!$M$8:$M$500,0)+7,"")</f>
        <v>11</v>
      </c>
    </row>
    <row r="9" customFormat="false" ht="18" hidden="false" customHeight="true" outlineLevel="0" collapsed="false">
      <c r="A9" s="61" t="str">
        <f aca="false">IF($H9="","",INDEX('Investment Log'!$B:$B,$H9))</f>
        <v/>
      </c>
      <c r="B9" s="51" t="str">
        <f aca="false">IF($H9="","",T(INDEX('Investment Log'!$D:$D,$H9)))</f>
        <v/>
      </c>
      <c r="C9" s="62" t="str">
        <f aca="false">IF($H9="","",INDEX('Investment Log'!$E:$E,$H9))</f>
        <v/>
      </c>
      <c r="D9" s="20" t="str">
        <f aca="false">IF($H9="","",T(INDEX('Investment Log'!$G:$G,$H9)))</f>
        <v/>
      </c>
      <c r="E9" s="20" t="str">
        <f aca="false">IF($H9="","",T(INDEX('Investment Log'!$H:$H,$H9)))</f>
        <v/>
      </c>
      <c r="F9" s="25" t="str">
        <f aca="false">IF($H9="","",SUM($C$8:$C9))</f>
        <v/>
      </c>
      <c r="H9" s="0" t="str">
        <f aca="false">IFERROR(MATCH("Real Estate|"&amp;2,'Investment Log'!$M$8:$M$500,0)+7,"")</f>
        <v/>
      </c>
    </row>
    <row r="10" customFormat="false" ht="18" hidden="false" customHeight="true" outlineLevel="0" collapsed="false">
      <c r="A10" s="56" t="str">
        <f aca="false">IF($H10="","",INDEX('Investment Log'!$B:$B,$H10))</f>
        <v/>
      </c>
      <c r="B10" s="57" t="str">
        <f aca="false">IF($H10="","",T(INDEX('Investment Log'!$D:$D,$H10)))</f>
        <v/>
      </c>
      <c r="C10" s="58" t="str">
        <f aca="false">IF($H10="","",INDEX('Investment Log'!$E:$E,$H10))</f>
        <v/>
      </c>
      <c r="D10" s="10" t="str">
        <f aca="false">IF($H10="","",T(INDEX('Investment Log'!$G:$G,$H10)))</f>
        <v/>
      </c>
      <c r="E10" s="10" t="str">
        <f aca="false">IF($H10="","",T(INDEX('Investment Log'!$H:$H,$H10)))</f>
        <v/>
      </c>
      <c r="F10" s="15" t="str">
        <f aca="false">IF($H10="","",SUM($C$8:$C10))</f>
        <v/>
      </c>
      <c r="H10" s="0" t="str">
        <f aca="false">IFERROR(MATCH("Real Estate|"&amp;3,'Investment Log'!$M$8:$M$500,0)+7,"")</f>
        <v/>
      </c>
    </row>
    <row r="11" customFormat="false" ht="18" hidden="false" customHeight="true" outlineLevel="0" collapsed="false">
      <c r="A11" s="61" t="str">
        <f aca="false">IF($H11="","",INDEX('Investment Log'!$B:$B,$H11))</f>
        <v/>
      </c>
      <c r="B11" s="51" t="str">
        <f aca="false">IF($H11="","",T(INDEX('Investment Log'!$D:$D,$H11)))</f>
        <v/>
      </c>
      <c r="C11" s="62" t="str">
        <f aca="false">IF($H11="","",INDEX('Investment Log'!$E:$E,$H11))</f>
        <v/>
      </c>
      <c r="D11" s="20" t="str">
        <f aca="false">IF($H11="","",T(INDEX('Investment Log'!$G:$G,$H11)))</f>
        <v/>
      </c>
      <c r="E11" s="20" t="str">
        <f aca="false">IF($H11="","",T(INDEX('Investment Log'!$H:$H,$H11)))</f>
        <v/>
      </c>
      <c r="F11" s="25" t="str">
        <f aca="false">IF($H11="","",SUM($C$8:$C11))</f>
        <v/>
      </c>
      <c r="H11" s="0" t="str">
        <f aca="false">IFERROR(MATCH("Real Estate|"&amp;4,'Investment Log'!$M$8:$M$500,0)+7,"")</f>
        <v/>
      </c>
    </row>
    <row r="12" customFormat="false" ht="18" hidden="false" customHeight="true" outlineLevel="0" collapsed="false">
      <c r="A12" s="56" t="str">
        <f aca="false">IF($H12="","",INDEX('Investment Log'!$B:$B,$H12))</f>
        <v/>
      </c>
      <c r="B12" s="57" t="str">
        <f aca="false">IF($H12="","",T(INDEX('Investment Log'!$D:$D,$H12)))</f>
        <v/>
      </c>
      <c r="C12" s="58" t="str">
        <f aca="false">IF($H12="","",INDEX('Investment Log'!$E:$E,$H12))</f>
        <v/>
      </c>
      <c r="D12" s="10" t="str">
        <f aca="false">IF($H12="","",T(INDEX('Investment Log'!$G:$G,$H12)))</f>
        <v/>
      </c>
      <c r="E12" s="10" t="str">
        <f aca="false">IF($H12="","",T(INDEX('Investment Log'!$H:$H,$H12)))</f>
        <v/>
      </c>
      <c r="F12" s="15" t="str">
        <f aca="false">IF($H12="","",SUM($C$8:$C12))</f>
        <v/>
      </c>
      <c r="H12" s="0" t="str">
        <f aca="false">IFERROR(MATCH("Real Estate|"&amp;5,'Investment Log'!$M$8:$M$500,0)+7,"")</f>
        <v/>
      </c>
    </row>
    <row r="13" customFormat="false" ht="18" hidden="false" customHeight="true" outlineLevel="0" collapsed="false">
      <c r="A13" s="61" t="str">
        <f aca="false">IF($H13="","",INDEX('Investment Log'!$B:$B,$H13))</f>
        <v/>
      </c>
      <c r="B13" s="51" t="str">
        <f aca="false">IF($H13="","",T(INDEX('Investment Log'!$D:$D,$H13)))</f>
        <v/>
      </c>
      <c r="C13" s="62" t="str">
        <f aca="false">IF($H13="","",INDEX('Investment Log'!$E:$E,$H13))</f>
        <v/>
      </c>
      <c r="D13" s="20" t="str">
        <f aca="false">IF($H13="","",T(INDEX('Investment Log'!$G:$G,$H13)))</f>
        <v/>
      </c>
      <c r="E13" s="20" t="str">
        <f aca="false">IF($H13="","",T(INDEX('Investment Log'!$H:$H,$H13)))</f>
        <v/>
      </c>
      <c r="F13" s="25" t="str">
        <f aca="false">IF($H13="","",SUM($C$8:$C13))</f>
        <v/>
      </c>
      <c r="H13" s="0" t="str">
        <f aca="false">IFERROR(MATCH("Real Estate|"&amp;6,'Investment Log'!$M$8:$M$500,0)+7,"")</f>
        <v/>
      </c>
    </row>
    <row r="14" customFormat="false" ht="18" hidden="false" customHeight="true" outlineLevel="0" collapsed="false">
      <c r="A14" s="56" t="str">
        <f aca="false">IF($H14="","",INDEX('Investment Log'!$B:$B,$H14))</f>
        <v/>
      </c>
      <c r="B14" s="57" t="str">
        <f aca="false">IF($H14="","",T(INDEX('Investment Log'!$D:$D,$H14)))</f>
        <v/>
      </c>
      <c r="C14" s="58" t="str">
        <f aca="false">IF($H14="","",INDEX('Investment Log'!$E:$E,$H14))</f>
        <v/>
      </c>
      <c r="D14" s="10" t="str">
        <f aca="false">IF($H14="","",T(INDEX('Investment Log'!$G:$G,$H14)))</f>
        <v/>
      </c>
      <c r="E14" s="10" t="str">
        <f aca="false">IF($H14="","",T(INDEX('Investment Log'!$H:$H,$H14)))</f>
        <v/>
      </c>
      <c r="F14" s="15" t="str">
        <f aca="false">IF($H14="","",SUM($C$8:$C14))</f>
        <v/>
      </c>
      <c r="H14" s="0" t="str">
        <f aca="false">IFERROR(MATCH("Real Estate|"&amp;7,'Investment Log'!$M$8:$M$500,0)+7,"")</f>
        <v/>
      </c>
    </row>
    <row r="15" customFormat="false" ht="18" hidden="false" customHeight="true" outlineLevel="0" collapsed="false">
      <c r="A15" s="61" t="str">
        <f aca="false">IF($H15="","",INDEX('Investment Log'!$B:$B,$H15))</f>
        <v/>
      </c>
      <c r="B15" s="51" t="str">
        <f aca="false">IF($H15="","",T(INDEX('Investment Log'!$D:$D,$H15)))</f>
        <v/>
      </c>
      <c r="C15" s="62" t="str">
        <f aca="false">IF($H15="","",INDEX('Investment Log'!$E:$E,$H15))</f>
        <v/>
      </c>
      <c r="D15" s="20" t="str">
        <f aca="false">IF($H15="","",T(INDEX('Investment Log'!$G:$G,$H15)))</f>
        <v/>
      </c>
      <c r="E15" s="20" t="str">
        <f aca="false">IF($H15="","",T(INDEX('Investment Log'!$H:$H,$H15)))</f>
        <v/>
      </c>
      <c r="F15" s="25" t="str">
        <f aca="false">IF($H15="","",SUM($C$8:$C15))</f>
        <v/>
      </c>
      <c r="H15" s="0" t="str">
        <f aca="false">IFERROR(MATCH("Real Estate|"&amp;8,'Investment Log'!$M$8:$M$500,0)+7,"")</f>
        <v/>
      </c>
    </row>
    <row r="16" customFormat="false" ht="18" hidden="false" customHeight="true" outlineLevel="0" collapsed="false">
      <c r="A16" s="56" t="str">
        <f aca="false">IF($H16="","",INDEX('Investment Log'!$B:$B,$H16))</f>
        <v/>
      </c>
      <c r="B16" s="57" t="str">
        <f aca="false">IF($H16="","",T(INDEX('Investment Log'!$D:$D,$H16)))</f>
        <v/>
      </c>
      <c r="C16" s="58" t="str">
        <f aca="false">IF($H16="","",INDEX('Investment Log'!$E:$E,$H16))</f>
        <v/>
      </c>
      <c r="D16" s="10" t="str">
        <f aca="false">IF($H16="","",T(INDEX('Investment Log'!$G:$G,$H16)))</f>
        <v/>
      </c>
      <c r="E16" s="10" t="str">
        <f aca="false">IF($H16="","",T(INDEX('Investment Log'!$H:$H,$H16)))</f>
        <v/>
      </c>
      <c r="F16" s="15" t="str">
        <f aca="false">IF($H16="","",SUM($C$8:$C16))</f>
        <v/>
      </c>
      <c r="H16" s="0" t="str">
        <f aca="false">IFERROR(MATCH("Real Estate|"&amp;9,'Investment Log'!$M$8:$M$500,0)+7,"")</f>
        <v/>
      </c>
    </row>
    <row r="17" customFormat="false" ht="18" hidden="false" customHeight="true" outlineLevel="0" collapsed="false">
      <c r="A17" s="61" t="str">
        <f aca="false">IF($H17="","",INDEX('Investment Log'!$B:$B,$H17))</f>
        <v/>
      </c>
      <c r="B17" s="51" t="str">
        <f aca="false">IF($H17="","",T(INDEX('Investment Log'!$D:$D,$H17)))</f>
        <v/>
      </c>
      <c r="C17" s="62" t="str">
        <f aca="false">IF($H17="","",INDEX('Investment Log'!$E:$E,$H17))</f>
        <v/>
      </c>
      <c r="D17" s="20" t="str">
        <f aca="false">IF($H17="","",T(INDEX('Investment Log'!$G:$G,$H17)))</f>
        <v/>
      </c>
      <c r="E17" s="20" t="str">
        <f aca="false">IF($H17="","",T(INDEX('Investment Log'!$H:$H,$H17)))</f>
        <v/>
      </c>
      <c r="F17" s="25" t="str">
        <f aca="false">IF($H17="","",SUM($C$8:$C17))</f>
        <v/>
      </c>
      <c r="H17" s="0" t="str">
        <f aca="false">IFERROR(MATCH("Real Estate|"&amp;10,'Investment Log'!$M$8:$M$500,0)+7,"")</f>
        <v/>
      </c>
    </row>
    <row r="18" customFormat="false" ht="18" hidden="false" customHeight="true" outlineLevel="0" collapsed="false">
      <c r="A18" s="56" t="str">
        <f aca="false">IF($H18="","",INDEX('Investment Log'!$B:$B,$H18))</f>
        <v/>
      </c>
      <c r="B18" s="57" t="str">
        <f aca="false">IF($H18="","",T(INDEX('Investment Log'!$D:$D,$H18)))</f>
        <v/>
      </c>
      <c r="C18" s="58" t="str">
        <f aca="false">IF($H18="","",INDEX('Investment Log'!$E:$E,$H18))</f>
        <v/>
      </c>
      <c r="D18" s="10" t="str">
        <f aca="false">IF($H18="","",T(INDEX('Investment Log'!$G:$G,$H18)))</f>
        <v/>
      </c>
      <c r="E18" s="10" t="str">
        <f aca="false">IF($H18="","",T(INDEX('Investment Log'!$H:$H,$H18)))</f>
        <v/>
      </c>
      <c r="F18" s="15" t="str">
        <f aca="false">IF($H18="","",SUM($C$8:$C18))</f>
        <v/>
      </c>
      <c r="H18" s="0" t="str">
        <f aca="false">IFERROR(MATCH("Real Estate|"&amp;11,'Investment Log'!$M$8:$M$500,0)+7,"")</f>
        <v/>
      </c>
    </row>
    <row r="19" customFormat="false" ht="18" hidden="false" customHeight="true" outlineLevel="0" collapsed="false">
      <c r="A19" s="61" t="str">
        <f aca="false">IF($H19="","",INDEX('Investment Log'!$B:$B,$H19))</f>
        <v/>
      </c>
      <c r="B19" s="51" t="str">
        <f aca="false">IF($H19="","",T(INDEX('Investment Log'!$D:$D,$H19)))</f>
        <v/>
      </c>
      <c r="C19" s="62" t="str">
        <f aca="false">IF($H19="","",INDEX('Investment Log'!$E:$E,$H19))</f>
        <v/>
      </c>
      <c r="D19" s="20" t="str">
        <f aca="false">IF($H19="","",T(INDEX('Investment Log'!$G:$G,$H19)))</f>
        <v/>
      </c>
      <c r="E19" s="20" t="str">
        <f aca="false">IF($H19="","",T(INDEX('Investment Log'!$H:$H,$H19)))</f>
        <v/>
      </c>
      <c r="F19" s="25" t="str">
        <f aca="false">IF($H19="","",SUM($C$8:$C19))</f>
        <v/>
      </c>
      <c r="H19" s="0" t="str">
        <f aca="false">IFERROR(MATCH("Real Estate|"&amp;12,'Investment Log'!$M$8:$M$500,0)+7,"")</f>
        <v/>
      </c>
    </row>
    <row r="20" customFormat="false" ht="18" hidden="false" customHeight="true" outlineLevel="0" collapsed="false">
      <c r="A20" s="56" t="str">
        <f aca="false">IF($H20="","",INDEX('Investment Log'!$B:$B,$H20))</f>
        <v/>
      </c>
      <c r="B20" s="57" t="str">
        <f aca="false">IF($H20="","",T(INDEX('Investment Log'!$D:$D,$H20)))</f>
        <v/>
      </c>
      <c r="C20" s="58" t="str">
        <f aca="false">IF($H20="","",INDEX('Investment Log'!$E:$E,$H20))</f>
        <v/>
      </c>
      <c r="D20" s="10" t="str">
        <f aca="false">IF($H20="","",T(INDEX('Investment Log'!$G:$G,$H20)))</f>
        <v/>
      </c>
      <c r="E20" s="10" t="str">
        <f aca="false">IF($H20="","",T(INDEX('Investment Log'!$H:$H,$H20)))</f>
        <v/>
      </c>
      <c r="F20" s="15" t="str">
        <f aca="false">IF($H20="","",SUM($C$8:$C20))</f>
        <v/>
      </c>
      <c r="H20" s="0" t="str">
        <f aca="false">IFERROR(MATCH("Real Estate|"&amp;13,'Investment Log'!$M$8:$M$500,0)+7,"")</f>
        <v/>
      </c>
    </row>
    <row r="21" customFormat="false" ht="18" hidden="false" customHeight="true" outlineLevel="0" collapsed="false">
      <c r="A21" s="61" t="str">
        <f aca="false">IF($H21="","",INDEX('Investment Log'!$B:$B,$H21))</f>
        <v/>
      </c>
      <c r="B21" s="51" t="str">
        <f aca="false">IF($H21="","",T(INDEX('Investment Log'!$D:$D,$H21)))</f>
        <v/>
      </c>
      <c r="C21" s="62" t="str">
        <f aca="false">IF($H21="","",INDEX('Investment Log'!$E:$E,$H21))</f>
        <v/>
      </c>
      <c r="D21" s="20" t="str">
        <f aca="false">IF($H21="","",T(INDEX('Investment Log'!$G:$G,$H21)))</f>
        <v/>
      </c>
      <c r="E21" s="20" t="str">
        <f aca="false">IF($H21="","",T(INDEX('Investment Log'!$H:$H,$H21)))</f>
        <v/>
      </c>
      <c r="F21" s="25" t="str">
        <f aca="false">IF($H21="","",SUM($C$8:$C21))</f>
        <v/>
      </c>
      <c r="H21" s="0" t="str">
        <f aca="false">IFERROR(MATCH("Real Estate|"&amp;14,'Investment Log'!$M$8:$M$500,0)+7,"")</f>
        <v/>
      </c>
    </row>
    <row r="22" customFormat="false" ht="18" hidden="false" customHeight="true" outlineLevel="0" collapsed="false">
      <c r="A22" s="56" t="str">
        <f aca="false">IF($H22="","",INDEX('Investment Log'!$B:$B,$H22))</f>
        <v/>
      </c>
      <c r="B22" s="57" t="str">
        <f aca="false">IF($H22="","",T(INDEX('Investment Log'!$D:$D,$H22)))</f>
        <v/>
      </c>
      <c r="C22" s="58" t="str">
        <f aca="false">IF($H22="","",INDEX('Investment Log'!$E:$E,$H22))</f>
        <v/>
      </c>
      <c r="D22" s="10" t="str">
        <f aca="false">IF($H22="","",T(INDEX('Investment Log'!$G:$G,$H22)))</f>
        <v/>
      </c>
      <c r="E22" s="10" t="str">
        <f aca="false">IF($H22="","",T(INDEX('Investment Log'!$H:$H,$H22)))</f>
        <v/>
      </c>
      <c r="F22" s="15" t="str">
        <f aca="false">IF($H22="","",SUM($C$8:$C22))</f>
        <v/>
      </c>
      <c r="H22" s="0" t="str">
        <f aca="false">IFERROR(MATCH("Real Estate|"&amp;15,'Investment Log'!$M$8:$M$500,0)+7,"")</f>
        <v/>
      </c>
    </row>
    <row r="23" customFormat="false" ht="18" hidden="false" customHeight="true" outlineLevel="0" collapsed="false">
      <c r="A23" s="61" t="str">
        <f aca="false">IF($H23="","",INDEX('Investment Log'!$B:$B,$H23))</f>
        <v/>
      </c>
      <c r="B23" s="51" t="str">
        <f aca="false">IF($H23="","",T(INDEX('Investment Log'!$D:$D,$H23)))</f>
        <v/>
      </c>
      <c r="C23" s="62" t="str">
        <f aca="false">IF($H23="","",INDEX('Investment Log'!$E:$E,$H23))</f>
        <v/>
      </c>
      <c r="D23" s="20" t="str">
        <f aca="false">IF($H23="","",T(INDEX('Investment Log'!$G:$G,$H23)))</f>
        <v/>
      </c>
      <c r="E23" s="20" t="str">
        <f aca="false">IF($H23="","",T(INDEX('Investment Log'!$H:$H,$H23)))</f>
        <v/>
      </c>
      <c r="F23" s="25" t="str">
        <f aca="false">IF($H23="","",SUM($C$8:$C23))</f>
        <v/>
      </c>
      <c r="H23" s="0" t="str">
        <f aca="false">IFERROR(MATCH("Real Estate|"&amp;16,'Investment Log'!$M$8:$M$500,0)+7,"")</f>
        <v/>
      </c>
    </row>
    <row r="24" customFormat="false" ht="18" hidden="false" customHeight="true" outlineLevel="0" collapsed="false">
      <c r="A24" s="56" t="str">
        <f aca="false">IF($H24="","",INDEX('Investment Log'!$B:$B,$H24))</f>
        <v/>
      </c>
      <c r="B24" s="57" t="str">
        <f aca="false">IF($H24="","",T(INDEX('Investment Log'!$D:$D,$H24)))</f>
        <v/>
      </c>
      <c r="C24" s="58" t="str">
        <f aca="false">IF($H24="","",INDEX('Investment Log'!$E:$E,$H24))</f>
        <v/>
      </c>
      <c r="D24" s="10" t="str">
        <f aca="false">IF($H24="","",T(INDEX('Investment Log'!$G:$G,$H24)))</f>
        <v/>
      </c>
      <c r="E24" s="10" t="str">
        <f aca="false">IF($H24="","",T(INDEX('Investment Log'!$H:$H,$H24)))</f>
        <v/>
      </c>
      <c r="F24" s="15" t="str">
        <f aca="false">IF($H24="","",SUM($C$8:$C24))</f>
        <v/>
      </c>
      <c r="H24" s="0" t="str">
        <f aca="false">IFERROR(MATCH("Real Estate|"&amp;17,'Investment Log'!$M$8:$M$500,0)+7,"")</f>
        <v/>
      </c>
    </row>
    <row r="25" customFormat="false" ht="18" hidden="false" customHeight="true" outlineLevel="0" collapsed="false">
      <c r="A25" s="61" t="str">
        <f aca="false">IF($H25="","",INDEX('Investment Log'!$B:$B,$H25))</f>
        <v/>
      </c>
      <c r="B25" s="51" t="str">
        <f aca="false">IF($H25="","",T(INDEX('Investment Log'!$D:$D,$H25)))</f>
        <v/>
      </c>
      <c r="C25" s="62" t="str">
        <f aca="false">IF($H25="","",INDEX('Investment Log'!$E:$E,$H25))</f>
        <v/>
      </c>
      <c r="D25" s="20" t="str">
        <f aca="false">IF($H25="","",T(INDEX('Investment Log'!$G:$G,$H25)))</f>
        <v/>
      </c>
      <c r="E25" s="20" t="str">
        <f aca="false">IF($H25="","",T(INDEX('Investment Log'!$H:$H,$H25)))</f>
        <v/>
      </c>
      <c r="F25" s="25" t="str">
        <f aca="false">IF($H25="","",SUM($C$8:$C25))</f>
        <v/>
      </c>
      <c r="H25" s="0" t="str">
        <f aca="false">IFERROR(MATCH("Real Estate|"&amp;18,'Investment Log'!$M$8:$M$500,0)+7,"")</f>
        <v/>
      </c>
    </row>
    <row r="26" customFormat="false" ht="18" hidden="false" customHeight="true" outlineLevel="0" collapsed="false">
      <c r="A26" s="56" t="str">
        <f aca="false">IF($H26="","",INDEX('Investment Log'!$B:$B,$H26))</f>
        <v/>
      </c>
      <c r="B26" s="57" t="str">
        <f aca="false">IF($H26="","",T(INDEX('Investment Log'!$D:$D,$H26)))</f>
        <v/>
      </c>
      <c r="C26" s="58" t="str">
        <f aca="false">IF($H26="","",INDEX('Investment Log'!$E:$E,$H26))</f>
        <v/>
      </c>
      <c r="D26" s="10" t="str">
        <f aca="false">IF($H26="","",T(INDEX('Investment Log'!$G:$G,$H26)))</f>
        <v/>
      </c>
      <c r="E26" s="10" t="str">
        <f aca="false">IF($H26="","",T(INDEX('Investment Log'!$H:$H,$H26)))</f>
        <v/>
      </c>
      <c r="F26" s="15" t="str">
        <f aca="false">IF($H26="","",SUM($C$8:$C26))</f>
        <v/>
      </c>
      <c r="H26" s="0" t="str">
        <f aca="false">IFERROR(MATCH("Real Estate|"&amp;19,'Investment Log'!$M$8:$M$500,0)+7,"")</f>
        <v/>
      </c>
    </row>
    <row r="27" customFormat="false" ht="18" hidden="false" customHeight="true" outlineLevel="0" collapsed="false">
      <c r="A27" s="61" t="str">
        <f aca="false">IF($H27="","",INDEX('Investment Log'!$B:$B,$H27))</f>
        <v/>
      </c>
      <c r="B27" s="51" t="str">
        <f aca="false">IF($H27="","",T(INDEX('Investment Log'!$D:$D,$H27)))</f>
        <v/>
      </c>
      <c r="C27" s="62" t="str">
        <f aca="false">IF($H27="","",INDEX('Investment Log'!$E:$E,$H27))</f>
        <v/>
      </c>
      <c r="D27" s="20" t="str">
        <f aca="false">IF($H27="","",T(INDEX('Investment Log'!$G:$G,$H27)))</f>
        <v/>
      </c>
      <c r="E27" s="20" t="str">
        <f aca="false">IF($H27="","",T(INDEX('Investment Log'!$H:$H,$H27)))</f>
        <v/>
      </c>
      <c r="F27" s="25" t="str">
        <f aca="false">IF($H27="","",SUM($C$8:$C27))</f>
        <v/>
      </c>
      <c r="H27" s="0" t="str">
        <f aca="false">IFERROR(MATCH("Real Estate|"&amp;20,'Investment Log'!$M$8:$M$500,0)+7,"")</f>
        <v/>
      </c>
    </row>
    <row r="28" customFormat="false" ht="18" hidden="false" customHeight="true" outlineLevel="0" collapsed="false">
      <c r="A28" s="56" t="str">
        <f aca="false">IF($H28="","",INDEX('Investment Log'!$B:$B,$H28))</f>
        <v/>
      </c>
      <c r="B28" s="57" t="str">
        <f aca="false">IF($H28="","",T(INDEX('Investment Log'!$D:$D,$H28)))</f>
        <v/>
      </c>
      <c r="C28" s="58" t="str">
        <f aca="false">IF($H28="","",INDEX('Investment Log'!$E:$E,$H28))</f>
        <v/>
      </c>
      <c r="D28" s="10" t="str">
        <f aca="false">IF($H28="","",T(INDEX('Investment Log'!$G:$G,$H28)))</f>
        <v/>
      </c>
      <c r="E28" s="10" t="str">
        <f aca="false">IF($H28="","",T(INDEX('Investment Log'!$H:$H,$H28)))</f>
        <v/>
      </c>
      <c r="F28" s="15" t="str">
        <f aca="false">IF($H28="","",SUM($C$8:$C28))</f>
        <v/>
      </c>
      <c r="H28" s="0" t="str">
        <f aca="false">IFERROR(MATCH("Real Estate|"&amp;21,'Investment Log'!$M$8:$M$500,0)+7,"")</f>
        <v/>
      </c>
    </row>
    <row r="29" customFormat="false" ht="18" hidden="false" customHeight="true" outlineLevel="0" collapsed="false">
      <c r="A29" s="61" t="str">
        <f aca="false">IF($H29="","",INDEX('Investment Log'!$B:$B,$H29))</f>
        <v/>
      </c>
      <c r="B29" s="51" t="str">
        <f aca="false">IF($H29="","",T(INDEX('Investment Log'!$D:$D,$H29)))</f>
        <v/>
      </c>
      <c r="C29" s="62" t="str">
        <f aca="false">IF($H29="","",INDEX('Investment Log'!$E:$E,$H29))</f>
        <v/>
      </c>
      <c r="D29" s="20" t="str">
        <f aca="false">IF($H29="","",T(INDEX('Investment Log'!$G:$G,$H29)))</f>
        <v/>
      </c>
      <c r="E29" s="20" t="str">
        <f aca="false">IF($H29="","",T(INDEX('Investment Log'!$H:$H,$H29)))</f>
        <v/>
      </c>
      <c r="F29" s="25" t="str">
        <f aca="false">IF($H29="","",SUM($C$8:$C29))</f>
        <v/>
      </c>
      <c r="H29" s="0" t="str">
        <f aca="false">IFERROR(MATCH("Real Estate|"&amp;22,'Investment Log'!$M$8:$M$500,0)+7,"")</f>
        <v/>
      </c>
    </row>
    <row r="30" customFormat="false" ht="18" hidden="false" customHeight="true" outlineLevel="0" collapsed="false">
      <c r="A30" s="56" t="str">
        <f aca="false">IF($H30="","",INDEX('Investment Log'!$B:$B,$H30))</f>
        <v/>
      </c>
      <c r="B30" s="57" t="str">
        <f aca="false">IF($H30="","",T(INDEX('Investment Log'!$D:$D,$H30)))</f>
        <v/>
      </c>
      <c r="C30" s="58" t="str">
        <f aca="false">IF($H30="","",INDEX('Investment Log'!$E:$E,$H30))</f>
        <v/>
      </c>
      <c r="D30" s="10" t="str">
        <f aca="false">IF($H30="","",T(INDEX('Investment Log'!$G:$G,$H30)))</f>
        <v/>
      </c>
      <c r="E30" s="10" t="str">
        <f aca="false">IF($H30="","",T(INDEX('Investment Log'!$H:$H,$H30)))</f>
        <v/>
      </c>
      <c r="F30" s="15" t="str">
        <f aca="false">IF($H30="","",SUM($C$8:$C30))</f>
        <v/>
      </c>
      <c r="H30" s="0" t="str">
        <f aca="false">IFERROR(MATCH("Real Estate|"&amp;23,'Investment Log'!$M$8:$M$500,0)+7,"")</f>
        <v/>
      </c>
    </row>
    <row r="31" customFormat="false" ht="18" hidden="false" customHeight="true" outlineLevel="0" collapsed="false">
      <c r="A31" s="61" t="str">
        <f aca="false">IF($H31="","",INDEX('Investment Log'!$B:$B,$H31))</f>
        <v/>
      </c>
      <c r="B31" s="51" t="str">
        <f aca="false">IF($H31="","",T(INDEX('Investment Log'!$D:$D,$H31)))</f>
        <v/>
      </c>
      <c r="C31" s="62" t="str">
        <f aca="false">IF($H31="","",INDEX('Investment Log'!$E:$E,$H31))</f>
        <v/>
      </c>
      <c r="D31" s="20" t="str">
        <f aca="false">IF($H31="","",T(INDEX('Investment Log'!$G:$G,$H31)))</f>
        <v/>
      </c>
      <c r="E31" s="20" t="str">
        <f aca="false">IF($H31="","",T(INDEX('Investment Log'!$H:$H,$H31)))</f>
        <v/>
      </c>
      <c r="F31" s="25" t="str">
        <f aca="false">IF($H31="","",SUM($C$8:$C31))</f>
        <v/>
      </c>
      <c r="H31" s="0" t="str">
        <f aca="false">IFERROR(MATCH("Real Estate|"&amp;24,'Investment Log'!$M$8:$M$500,0)+7,"")</f>
        <v/>
      </c>
    </row>
    <row r="32" customFormat="false" ht="18" hidden="false" customHeight="true" outlineLevel="0" collapsed="false">
      <c r="A32" s="56" t="str">
        <f aca="false">IF($H32="","",INDEX('Investment Log'!$B:$B,$H32))</f>
        <v/>
      </c>
      <c r="B32" s="57" t="str">
        <f aca="false">IF($H32="","",T(INDEX('Investment Log'!$D:$D,$H32)))</f>
        <v/>
      </c>
      <c r="C32" s="58" t="str">
        <f aca="false">IF($H32="","",INDEX('Investment Log'!$E:$E,$H32))</f>
        <v/>
      </c>
      <c r="D32" s="10" t="str">
        <f aca="false">IF($H32="","",T(INDEX('Investment Log'!$G:$G,$H32)))</f>
        <v/>
      </c>
      <c r="E32" s="10" t="str">
        <f aca="false">IF($H32="","",T(INDEX('Investment Log'!$H:$H,$H32)))</f>
        <v/>
      </c>
      <c r="F32" s="15" t="str">
        <f aca="false">IF($H32="","",SUM($C$8:$C32))</f>
        <v/>
      </c>
      <c r="H32" s="0" t="str">
        <f aca="false">IFERROR(MATCH("Real Estate|"&amp;25,'Investment Log'!$M$8:$M$500,0)+7,"")</f>
        <v/>
      </c>
    </row>
    <row r="33" customFormat="false" ht="18" hidden="false" customHeight="true" outlineLevel="0" collapsed="false">
      <c r="A33" s="61" t="str">
        <f aca="false">IF($H33="","",INDEX('Investment Log'!$B:$B,$H33))</f>
        <v/>
      </c>
      <c r="B33" s="51" t="str">
        <f aca="false">IF($H33="","",T(INDEX('Investment Log'!$D:$D,$H33)))</f>
        <v/>
      </c>
      <c r="C33" s="62" t="str">
        <f aca="false">IF($H33="","",INDEX('Investment Log'!$E:$E,$H33))</f>
        <v/>
      </c>
      <c r="D33" s="20" t="str">
        <f aca="false">IF($H33="","",T(INDEX('Investment Log'!$G:$G,$H33)))</f>
        <v/>
      </c>
      <c r="E33" s="20" t="str">
        <f aca="false">IF($H33="","",T(INDEX('Investment Log'!$H:$H,$H33)))</f>
        <v/>
      </c>
      <c r="F33" s="25" t="str">
        <f aca="false">IF($H33="","",SUM($C$8:$C33))</f>
        <v/>
      </c>
      <c r="H33" s="0" t="str">
        <f aca="false">IFERROR(MATCH("Real Estate|"&amp;26,'Investment Log'!$M$8:$M$500,0)+7,"")</f>
        <v/>
      </c>
    </row>
    <row r="34" customFormat="false" ht="18" hidden="false" customHeight="true" outlineLevel="0" collapsed="false">
      <c r="A34" s="56" t="str">
        <f aca="false">IF($H34="","",INDEX('Investment Log'!$B:$B,$H34))</f>
        <v/>
      </c>
      <c r="B34" s="57" t="str">
        <f aca="false">IF($H34="","",T(INDEX('Investment Log'!$D:$D,$H34)))</f>
        <v/>
      </c>
      <c r="C34" s="58" t="str">
        <f aca="false">IF($H34="","",INDEX('Investment Log'!$E:$E,$H34))</f>
        <v/>
      </c>
      <c r="D34" s="10" t="str">
        <f aca="false">IF($H34="","",T(INDEX('Investment Log'!$G:$G,$H34)))</f>
        <v/>
      </c>
      <c r="E34" s="10" t="str">
        <f aca="false">IF($H34="","",T(INDEX('Investment Log'!$H:$H,$H34)))</f>
        <v/>
      </c>
      <c r="F34" s="15" t="str">
        <f aca="false">IF($H34="","",SUM($C$8:$C34))</f>
        <v/>
      </c>
      <c r="H34" s="0" t="str">
        <f aca="false">IFERROR(MATCH("Real Estate|"&amp;27,'Investment Log'!$M$8:$M$500,0)+7,"")</f>
        <v/>
      </c>
    </row>
    <row r="35" customFormat="false" ht="18" hidden="false" customHeight="true" outlineLevel="0" collapsed="false">
      <c r="A35" s="61" t="str">
        <f aca="false">IF($H35="","",INDEX('Investment Log'!$B:$B,$H35))</f>
        <v/>
      </c>
      <c r="B35" s="51" t="str">
        <f aca="false">IF($H35="","",T(INDEX('Investment Log'!$D:$D,$H35)))</f>
        <v/>
      </c>
      <c r="C35" s="62" t="str">
        <f aca="false">IF($H35="","",INDEX('Investment Log'!$E:$E,$H35))</f>
        <v/>
      </c>
      <c r="D35" s="20" t="str">
        <f aca="false">IF($H35="","",T(INDEX('Investment Log'!$G:$G,$H35)))</f>
        <v/>
      </c>
      <c r="E35" s="20" t="str">
        <f aca="false">IF($H35="","",T(INDEX('Investment Log'!$H:$H,$H35)))</f>
        <v/>
      </c>
      <c r="F35" s="25" t="str">
        <f aca="false">IF($H35="","",SUM($C$8:$C35))</f>
        <v/>
      </c>
      <c r="H35" s="0" t="str">
        <f aca="false">IFERROR(MATCH("Real Estate|"&amp;28,'Investment Log'!$M$8:$M$500,0)+7,"")</f>
        <v/>
      </c>
    </row>
    <row r="36" customFormat="false" ht="18" hidden="false" customHeight="true" outlineLevel="0" collapsed="false">
      <c r="A36" s="56" t="str">
        <f aca="false">IF($H36="","",INDEX('Investment Log'!$B:$B,$H36))</f>
        <v/>
      </c>
      <c r="B36" s="57" t="str">
        <f aca="false">IF($H36="","",T(INDEX('Investment Log'!$D:$D,$H36)))</f>
        <v/>
      </c>
      <c r="C36" s="58" t="str">
        <f aca="false">IF($H36="","",INDEX('Investment Log'!$E:$E,$H36))</f>
        <v/>
      </c>
      <c r="D36" s="10" t="str">
        <f aca="false">IF($H36="","",T(INDEX('Investment Log'!$G:$G,$H36)))</f>
        <v/>
      </c>
      <c r="E36" s="10" t="str">
        <f aca="false">IF($H36="","",T(INDEX('Investment Log'!$H:$H,$H36)))</f>
        <v/>
      </c>
      <c r="F36" s="15" t="str">
        <f aca="false">IF($H36="","",SUM($C$8:$C36))</f>
        <v/>
      </c>
      <c r="H36" s="0" t="str">
        <f aca="false">IFERROR(MATCH("Real Estate|"&amp;29,'Investment Log'!$M$8:$M$500,0)+7,"")</f>
        <v/>
      </c>
    </row>
    <row r="37" customFormat="false" ht="18" hidden="false" customHeight="true" outlineLevel="0" collapsed="false">
      <c r="A37" s="61" t="str">
        <f aca="false">IF($H37="","",INDEX('Investment Log'!$B:$B,$H37))</f>
        <v/>
      </c>
      <c r="B37" s="51" t="str">
        <f aca="false">IF($H37="","",T(INDEX('Investment Log'!$D:$D,$H37)))</f>
        <v/>
      </c>
      <c r="C37" s="62" t="str">
        <f aca="false">IF($H37="","",INDEX('Investment Log'!$E:$E,$H37))</f>
        <v/>
      </c>
      <c r="D37" s="20" t="str">
        <f aca="false">IF($H37="","",T(INDEX('Investment Log'!$G:$G,$H37)))</f>
        <v/>
      </c>
      <c r="E37" s="20" t="str">
        <f aca="false">IF($H37="","",T(INDEX('Investment Log'!$H:$H,$H37)))</f>
        <v/>
      </c>
      <c r="F37" s="25" t="str">
        <f aca="false">IF($H37="","",SUM($C$8:$C37))</f>
        <v/>
      </c>
      <c r="H37" s="0" t="str">
        <f aca="false">IFERROR(MATCH("Real Estate|"&amp;30,'Investment Log'!$M$8:$M$500,0)+7,"")</f>
        <v/>
      </c>
    </row>
    <row r="38" customFormat="false" ht="18" hidden="false" customHeight="true" outlineLevel="0" collapsed="false">
      <c r="A38" s="56" t="str">
        <f aca="false">IF($H38="","",INDEX('Investment Log'!$B:$B,$H38))</f>
        <v/>
      </c>
      <c r="B38" s="57" t="str">
        <f aca="false">IF($H38="","",T(INDEX('Investment Log'!$D:$D,$H38)))</f>
        <v/>
      </c>
      <c r="C38" s="58" t="str">
        <f aca="false">IF($H38="","",INDEX('Investment Log'!$E:$E,$H38))</f>
        <v/>
      </c>
      <c r="D38" s="10" t="str">
        <f aca="false">IF($H38="","",T(INDEX('Investment Log'!$G:$G,$H38)))</f>
        <v/>
      </c>
      <c r="E38" s="10" t="str">
        <f aca="false">IF($H38="","",T(INDEX('Investment Log'!$H:$H,$H38)))</f>
        <v/>
      </c>
      <c r="F38" s="15" t="str">
        <f aca="false">IF($H38="","",SUM($C$8:$C38))</f>
        <v/>
      </c>
      <c r="H38" s="0" t="str">
        <f aca="false">IFERROR(MATCH("Real Estate|"&amp;31,'Investment Log'!$M$8:$M$500,0)+7,"")</f>
        <v/>
      </c>
    </row>
    <row r="39" customFormat="false" ht="18" hidden="false" customHeight="true" outlineLevel="0" collapsed="false">
      <c r="A39" s="61" t="str">
        <f aca="false">IF($H39="","",INDEX('Investment Log'!$B:$B,$H39))</f>
        <v/>
      </c>
      <c r="B39" s="51" t="str">
        <f aca="false">IF($H39="","",T(INDEX('Investment Log'!$D:$D,$H39)))</f>
        <v/>
      </c>
      <c r="C39" s="62" t="str">
        <f aca="false">IF($H39="","",INDEX('Investment Log'!$E:$E,$H39))</f>
        <v/>
      </c>
      <c r="D39" s="20" t="str">
        <f aca="false">IF($H39="","",T(INDEX('Investment Log'!$G:$G,$H39)))</f>
        <v/>
      </c>
      <c r="E39" s="20" t="str">
        <f aca="false">IF($H39="","",T(INDEX('Investment Log'!$H:$H,$H39)))</f>
        <v/>
      </c>
      <c r="F39" s="25" t="str">
        <f aca="false">IF($H39="","",SUM($C$8:$C39))</f>
        <v/>
      </c>
      <c r="H39" s="0" t="str">
        <f aca="false">IFERROR(MATCH("Real Estate|"&amp;32,'Investment Log'!$M$8:$M$500,0)+7,"")</f>
        <v/>
      </c>
    </row>
    <row r="40" customFormat="false" ht="18" hidden="false" customHeight="true" outlineLevel="0" collapsed="false">
      <c r="A40" s="56" t="str">
        <f aca="false">IF($H40="","",INDEX('Investment Log'!$B:$B,$H40))</f>
        <v/>
      </c>
      <c r="B40" s="57" t="str">
        <f aca="false">IF($H40="","",T(INDEX('Investment Log'!$D:$D,$H40)))</f>
        <v/>
      </c>
      <c r="C40" s="58" t="str">
        <f aca="false">IF($H40="","",INDEX('Investment Log'!$E:$E,$H40))</f>
        <v/>
      </c>
      <c r="D40" s="10" t="str">
        <f aca="false">IF($H40="","",T(INDEX('Investment Log'!$G:$G,$H40)))</f>
        <v/>
      </c>
      <c r="E40" s="10" t="str">
        <f aca="false">IF($H40="","",T(INDEX('Investment Log'!$H:$H,$H40)))</f>
        <v/>
      </c>
      <c r="F40" s="15" t="str">
        <f aca="false">IF($H40="","",SUM($C$8:$C40))</f>
        <v/>
      </c>
      <c r="H40" s="0" t="str">
        <f aca="false">IFERROR(MATCH("Real Estate|"&amp;33,'Investment Log'!$M$8:$M$500,0)+7,"")</f>
        <v/>
      </c>
    </row>
    <row r="41" customFormat="false" ht="18" hidden="false" customHeight="true" outlineLevel="0" collapsed="false">
      <c r="A41" s="61" t="str">
        <f aca="false">IF($H41="","",INDEX('Investment Log'!$B:$B,$H41))</f>
        <v/>
      </c>
      <c r="B41" s="51" t="str">
        <f aca="false">IF($H41="","",T(INDEX('Investment Log'!$D:$D,$H41)))</f>
        <v/>
      </c>
      <c r="C41" s="62" t="str">
        <f aca="false">IF($H41="","",INDEX('Investment Log'!$E:$E,$H41))</f>
        <v/>
      </c>
      <c r="D41" s="20" t="str">
        <f aca="false">IF($H41="","",T(INDEX('Investment Log'!$G:$G,$H41)))</f>
        <v/>
      </c>
      <c r="E41" s="20" t="str">
        <f aca="false">IF($H41="","",T(INDEX('Investment Log'!$H:$H,$H41)))</f>
        <v/>
      </c>
      <c r="F41" s="25" t="str">
        <f aca="false">IF($H41="","",SUM($C$8:$C41))</f>
        <v/>
      </c>
      <c r="H41" s="0" t="str">
        <f aca="false">IFERROR(MATCH("Real Estate|"&amp;34,'Investment Log'!$M$8:$M$500,0)+7,"")</f>
        <v/>
      </c>
    </row>
    <row r="42" customFormat="false" ht="18" hidden="false" customHeight="true" outlineLevel="0" collapsed="false">
      <c r="A42" s="56" t="str">
        <f aca="false">IF($H42="","",INDEX('Investment Log'!$B:$B,$H42))</f>
        <v/>
      </c>
      <c r="B42" s="57" t="str">
        <f aca="false">IF($H42="","",T(INDEX('Investment Log'!$D:$D,$H42)))</f>
        <v/>
      </c>
      <c r="C42" s="58" t="str">
        <f aca="false">IF($H42="","",INDEX('Investment Log'!$E:$E,$H42))</f>
        <v/>
      </c>
      <c r="D42" s="10" t="str">
        <f aca="false">IF($H42="","",T(INDEX('Investment Log'!$G:$G,$H42)))</f>
        <v/>
      </c>
      <c r="E42" s="10" t="str">
        <f aca="false">IF($H42="","",T(INDEX('Investment Log'!$H:$H,$H42)))</f>
        <v/>
      </c>
      <c r="F42" s="15" t="str">
        <f aca="false">IF($H42="","",SUM($C$8:$C42))</f>
        <v/>
      </c>
      <c r="H42" s="0" t="str">
        <f aca="false">IFERROR(MATCH("Real Estate|"&amp;35,'Investment Log'!$M$8:$M$500,0)+7,"")</f>
        <v/>
      </c>
    </row>
    <row r="43" customFormat="false" ht="18" hidden="false" customHeight="true" outlineLevel="0" collapsed="false">
      <c r="A43" s="61" t="str">
        <f aca="false">IF($H43="","",INDEX('Investment Log'!$B:$B,$H43))</f>
        <v/>
      </c>
      <c r="B43" s="51" t="str">
        <f aca="false">IF($H43="","",T(INDEX('Investment Log'!$D:$D,$H43)))</f>
        <v/>
      </c>
      <c r="C43" s="62" t="str">
        <f aca="false">IF($H43="","",INDEX('Investment Log'!$E:$E,$H43))</f>
        <v/>
      </c>
      <c r="D43" s="20" t="str">
        <f aca="false">IF($H43="","",T(INDEX('Investment Log'!$G:$G,$H43)))</f>
        <v/>
      </c>
      <c r="E43" s="20" t="str">
        <f aca="false">IF($H43="","",T(INDEX('Investment Log'!$H:$H,$H43)))</f>
        <v/>
      </c>
      <c r="F43" s="25" t="str">
        <f aca="false">IF($H43="","",SUM($C$8:$C43))</f>
        <v/>
      </c>
      <c r="H43" s="0" t="str">
        <f aca="false">IFERROR(MATCH("Real Estate|"&amp;36,'Investment Log'!$M$8:$M$500,0)+7,"")</f>
        <v/>
      </c>
    </row>
    <row r="44" customFormat="false" ht="18" hidden="false" customHeight="true" outlineLevel="0" collapsed="false">
      <c r="A44" s="56" t="str">
        <f aca="false">IF($H44="","",INDEX('Investment Log'!$B:$B,$H44))</f>
        <v/>
      </c>
      <c r="B44" s="57" t="str">
        <f aca="false">IF($H44="","",T(INDEX('Investment Log'!$D:$D,$H44)))</f>
        <v/>
      </c>
      <c r="C44" s="58" t="str">
        <f aca="false">IF($H44="","",INDEX('Investment Log'!$E:$E,$H44))</f>
        <v/>
      </c>
      <c r="D44" s="10" t="str">
        <f aca="false">IF($H44="","",T(INDEX('Investment Log'!$G:$G,$H44)))</f>
        <v/>
      </c>
      <c r="E44" s="10" t="str">
        <f aca="false">IF($H44="","",T(INDEX('Investment Log'!$H:$H,$H44)))</f>
        <v/>
      </c>
      <c r="F44" s="15" t="str">
        <f aca="false">IF($H44="","",SUM($C$8:$C44))</f>
        <v/>
      </c>
      <c r="H44" s="0" t="str">
        <f aca="false">IFERROR(MATCH("Real Estate|"&amp;37,'Investment Log'!$M$8:$M$500,0)+7,"")</f>
        <v/>
      </c>
    </row>
    <row r="45" customFormat="false" ht="18" hidden="false" customHeight="true" outlineLevel="0" collapsed="false">
      <c r="A45" s="61" t="str">
        <f aca="false">IF($H45="","",INDEX('Investment Log'!$B:$B,$H45))</f>
        <v/>
      </c>
      <c r="B45" s="51" t="str">
        <f aca="false">IF($H45="","",T(INDEX('Investment Log'!$D:$D,$H45)))</f>
        <v/>
      </c>
      <c r="C45" s="62" t="str">
        <f aca="false">IF($H45="","",INDEX('Investment Log'!$E:$E,$H45))</f>
        <v/>
      </c>
      <c r="D45" s="20" t="str">
        <f aca="false">IF($H45="","",T(INDEX('Investment Log'!$G:$G,$H45)))</f>
        <v/>
      </c>
      <c r="E45" s="20" t="str">
        <f aca="false">IF($H45="","",T(INDEX('Investment Log'!$H:$H,$H45)))</f>
        <v/>
      </c>
      <c r="F45" s="25" t="str">
        <f aca="false">IF($H45="","",SUM($C$8:$C45))</f>
        <v/>
      </c>
      <c r="H45" s="0" t="str">
        <f aca="false">IFERROR(MATCH("Real Estate|"&amp;38,'Investment Log'!$M$8:$M$500,0)+7,"")</f>
        <v/>
      </c>
    </row>
    <row r="46" customFormat="false" ht="18" hidden="false" customHeight="true" outlineLevel="0" collapsed="false">
      <c r="A46" s="56" t="str">
        <f aca="false">IF($H46="","",INDEX('Investment Log'!$B:$B,$H46))</f>
        <v/>
      </c>
      <c r="B46" s="57" t="str">
        <f aca="false">IF($H46="","",T(INDEX('Investment Log'!$D:$D,$H46)))</f>
        <v/>
      </c>
      <c r="C46" s="58" t="str">
        <f aca="false">IF($H46="","",INDEX('Investment Log'!$E:$E,$H46))</f>
        <v/>
      </c>
      <c r="D46" s="10" t="str">
        <f aca="false">IF($H46="","",T(INDEX('Investment Log'!$G:$G,$H46)))</f>
        <v/>
      </c>
      <c r="E46" s="10" t="str">
        <f aca="false">IF($H46="","",T(INDEX('Investment Log'!$H:$H,$H46)))</f>
        <v/>
      </c>
      <c r="F46" s="15" t="str">
        <f aca="false">IF($H46="","",SUM($C$8:$C46))</f>
        <v/>
      </c>
      <c r="H46" s="0" t="str">
        <f aca="false">IFERROR(MATCH("Real Estate|"&amp;39,'Investment Log'!$M$8:$M$500,0)+7,"")</f>
        <v/>
      </c>
    </row>
    <row r="47" customFormat="false" ht="18" hidden="false" customHeight="true" outlineLevel="0" collapsed="false">
      <c r="A47" s="61" t="str">
        <f aca="false">IF($H47="","",INDEX('Investment Log'!$B:$B,$H47))</f>
        <v/>
      </c>
      <c r="B47" s="51" t="str">
        <f aca="false">IF($H47="","",T(INDEX('Investment Log'!$D:$D,$H47)))</f>
        <v/>
      </c>
      <c r="C47" s="62" t="str">
        <f aca="false">IF($H47="","",INDEX('Investment Log'!$E:$E,$H47))</f>
        <v/>
      </c>
      <c r="D47" s="20" t="str">
        <f aca="false">IF($H47="","",T(INDEX('Investment Log'!$G:$G,$H47)))</f>
        <v/>
      </c>
      <c r="E47" s="20" t="str">
        <f aca="false">IF($H47="","",T(INDEX('Investment Log'!$H:$H,$H47)))</f>
        <v/>
      </c>
      <c r="F47" s="25" t="str">
        <f aca="false">IF($H47="","",SUM($C$8:$C47))</f>
        <v/>
      </c>
      <c r="H47" s="0" t="str">
        <f aca="false">IFERROR(MATCH("Real Estate|"&amp;40,'Investment Log'!$M$8:$M$500,0)+7,"")</f>
        <v/>
      </c>
    </row>
    <row r="48" customFormat="false" ht="18" hidden="false" customHeight="true" outlineLevel="0" collapsed="false">
      <c r="A48" s="56" t="str">
        <f aca="false">IF($H48="","",INDEX('Investment Log'!$B:$B,$H48))</f>
        <v/>
      </c>
      <c r="B48" s="57" t="str">
        <f aca="false">IF($H48="","",T(INDEX('Investment Log'!$D:$D,$H48)))</f>
        <v/>
      </c>
      <c r="C48" s="58" t="str">
        <f aca="false">IF($H48="","",INDEX('Investment Log'!$E:$E,$H48))</f>
        <v/>
      </c>
      <c r="D48" s="10" t="str">
        <f aca="false">IF($H48="","",T(INDEX('Investment Log'!$G:$G,$H48)))</f>
        <v/>
      </c>
      <c r="E48" s="10" t="str">
        <f aca="false">IF($H48="","",T(INDEX('Investment Log'!$H:$H,$H48)))</f>
        <v/>
      </c>
      <c r="F48" s="15" t="str">
        <f aca="false">IF($H48="","",SUM($C$8:$C48))</f>
        <v/>
      </c>
      <c r="H48" s="0" t="str">
        <f aca="false">IFERROR(MATCH("Real Estate|"&amp;41,'Investment Log'!$M$8:$M$500,0)+7,"")</f>
        <v/>
      </c>
    </row>
    <row r="49" customFormat="false" ht="18" hidden="false" customHeight="true" outlineLevel="0" collapsed="false">
      <c r="A49" s="61" t="str">
        <f aca="false">IF($H49="","",INDEX('Investment Log'!$B:$B,$H49))</f>
        <v/>
      </c>
      <c r="B49" s="51" t="str">
        <f aca="false">IF($H49="","",T(INDEX('Investment Log'!$D:$D,$H49)))</f>
        <v/>
      </c>
      <c r="C49" s="62" t="str">
        <f aca="false">IF($H49="","",INDEX('Investment Log'!$E:$E,$H49))</f>
        <v/>
      </c>
      <c r="D49" s="20" t="str">
        <f aca="false">IF($H49="","",T(INDEX('Investment Log'!$G:$G,$H49)))</f>
        <v/>
      </c>
      <c r="E49" s="20" t="str">
        <f aca="false">IF($H49="","",T(INDEX('Investment Log'!$H:$H,$H49)))</f>
        <v/>
      </c>
      <c r="F49" s="25" t="str">
        <f aca="false">IF($H49="","",SUM($C$8:$C49))</f>
        <v/>
      </c>
      <c r="H49" s="0" t="str">
        <f aca="false">IFERROR(MATCH("Real Estate|"&amp;42,'Investment Log'!$M$8:$M$500,0)+7,"")</f>
        <v/>
      </c>
    </row>
    <row r="50" customFormat="false" ht="18" hidden="false" customHeight="true" outlineLevel="0" collapsed="false">
      <c r="A50" s="56" t="str">
        <f aca="false">IF($H50="","",INDEX('Investment Log'!$B:$B,$H50))</f>
        <v/>
      </c>
      <c r="B50" s="57" t="str">
        <f aca="false">IF($H50="","",T(INDEX('Investment Log'!$D:$D,$H50)))</f>
        <v/>
      </c>
      <c r="C50" s="58" t="str">
        <f aca="false">IF($H50="","",INDEX('Investment Log'!$E:$E,$H50))</f>
        <v/>
      </c>
      <c r="D50" s="10" t="str">
        <f aca="false">IF($H50="","",T(INDEX('Investment Log'!$G:$G,$H50)))</f>
        <v/>
      </c>
      <c r="E50" s="10" t="str">
        <f aca="false">IF($H50="","",T(INDEX('Investment Log'!$H:$H,$H50)))</f>
        <v/>
      </c>
      <c r="F50" s="15" t="str">
        <f aca="false">IF($H50="","",SUM($C$8:$C50))</f>
        <v/>
      </c>
      <c r="H50" s="0" t="str">
        <f aca="false">IFERROR(MATCH("Real Estate|"&amp;43,'Investment Log'!$M$8:$M$500,0)+7,"")</f>
        <v/>
      </c>
    </row>
    <row r="51" customFormat="false" ht="18" hidden="false" customHeight="true" outlineLevel="0" collapsed="false">
      <c r="A51" s="61" t="str">
        <f aca="false">IF($H51="","",INDEX('Investment Log'!$B:$B,$H51))</f>
        <v/>
      </c>
      <c r="B51" s="51" t="str">
        <f aca="false">IF($H51="","",T(INDEX('Investment Log'!$D:$D,$H51)))</f>
        <v/>
      </c>
      <c r="C51" s="62" t="str">
        <f aca="false">IF($H51="","",INDEX('Investment Log'!$E:$E,$H51))</f>
        <v/>
      </c>
      <c r="D51" s="20" t="str">
        <f aca="false">IF($H51="","",T(INDEX('Investment Log'!$G:$G,$H51)))</f>
        <v/>
      </c>
      <c r="E51" s="20" t="str">
        <f aca="false">IF($H51="","",T(INDEX('Investment Log'!$H:$H,$H51)))</f>
        <v/>
      </c>
      <c r="F51" s="25" t="str">
        <f aca="false">IF($H51="","",SUM($C$8:$C51))</f>
        <v/>
      </c>
      <c r="H51" s="0" t="str">
        <f aca="false">IFERROR(MATCH("Real Estate|"&amp;44,'Investment Log'!$M$8:$M$500,0)+7,"")</f>
        <v/>
      </c>
    </row>
    <row r="52" customFormat="false" ht="18" hidden="false" customHeight="true" outlineLevel="0" collapsed="false">
      <c r="A52" s="56" t="str">
        <f aca="false">IF($H52="","",INDEX('Investment Log'!$B:$B,$H52))</f>
        <v/>
      </c>
      <c r="B52" s="57" t="str">
        <f aca="false">IF($H52="","",T(INDEX('Investment Log'!$D:$D,$H52)))</f>
        <v/>
      </c>
      <c r="C52" s="58" t="str">
        <f aca="false">IF($H52="","",INDEX('Investment Log'!$E:$E,$H52))</f>
        <v/>
      </c>
      <c r="D52" s="10" t="str">
        <f aca="false">IF($H52="","",T(INDEX('Investment Log'!$G:$G,$H52)))</f>
        <v/>
      </c>
      <c r="E52" s="10" t="str">
        <f aca="false">IF($H52="","",T(INDEX('Investment Log'!$H:$H,$H52)))</f>
        <v/>
      </c>
      <c r="F52" s="15" t="str">
        <f aca="false">IF($H52="","",SUM($C$8:$C52))</f>
        <v/>
      </c>
      <c r="H52" s="0" t="str">
        <f aca="false">IFERROR(MATCH("Real Estate|"&amp;45,'Investment Log'!$M$8:$M$500,0)+7,"")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2026-08-31T17:04:13Z</dcterms:created>
  <dc:creator>openpyxl</dc:creator>
  <dc:description/>
  <dc:language>en-US</dc:language>
  <cp:lastModifiedBy/>
  <dcterms:modified xsi:type="dcterms:W3CDTF">2026-08-31T17:04:17Z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